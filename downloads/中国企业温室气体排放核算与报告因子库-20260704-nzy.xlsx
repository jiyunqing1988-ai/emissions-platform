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https://nsf360apc-my.sharepoint.com/personal/nning_nsf_org/Documents/桌面/"/>
    </mc:Choice>
  </mc:AlternateContent>
  <xr:revisionPtr revIDLastSave="81" documentId="11_819AED4E14DE142AB2A6B31A2FFE559CD426A43C" xr6:coauthVersionLast="47" xr6:coauthVersionMax="47" xr10:uidLastSave="{E8ED230E-689E-4B7B-936C-6358DAA26871}"/>
  <bookViews>
    <workbookView xWindow="-103" yWindow="-103" windowWidth="22149" windowHeight="13200" activeTab="4" xr2:uid="{00000000-000D-0000-FFFF-FFFF00000000}"/>
  </bookViews>
  <sheets>
    <sheet name="基本信息" sheetId="1" r:id="rId1"/>
    <sheet name="导航目录" sheetId="2" r:id="rId2"/>
    <sheet name="范围一" sheetId="6" r:id="rId3"/>
    <sheet name="范围二" sheetId="8" r:id="rId4"/>
    <sheet name="范围三" sheetId="7" r:id="rId5"/>
    <sheet name="Q&amp;A" sheetId="10" r:id="rId6"/>
    <sheet name="参考文献" sheetId="11" r:id="rId7"/>
    <sheet name="参考文献-nzy" sheetId="12" state="hidden" r:id="rId8"/>
  </sheets>
  <definedNames>
    <definedName name="_xlnm._FilterDatabase" localSheetId="3" hidden="1">范围二!$A$11:$XEZ$90</definedName>
    <definedName name="_xlnm._FilterDatabase" localSheetId="4" hidden="1">范围三!$A$11:$XEZ$313</definedName>
    <definedName name="_xlnm._FilterDatabase" localSheetId="2" hidden="1">范围一!$A$11:$XFC$250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8" i="6" l="1"/>
  <c r="E137" i="6"/>
  <c r="E136" i="6"/>
  <c r="E135" i="6"/>
  <c r="E134" i="6"/>
  <c r="E133" i="6"/>
  <c r="E132" i="6"/>
  <c r="E131" i="6"/>
  <c r="E130" i="6"/>
  <c r="E129" i="6"/>
  <c r="E128" i="6"/>
  <c r="E127" i="6"/>
  <c r="E126" i="6"/>
  <c r="E125" i="6"/>
  <c r="E124" i="6"/>
  <c r="E123" i="6"/>
  <c r="E122" i="6"/>
  <c r="E121" i="6"/>
  <c r="E120" i="6"/>
  <c r="E119" i="6"/>
  <c r="E118" i="6"/>
  <c r="E116" i="6"/>
  <c r="E115" i="6"/>
  <c r="E114" i="6"/>
  <c r="E113" i="6"/>
  <c r="E112" i="6"/>
  <c r="E111" i="6"/>
  <c r="E110" i="6"/>
  <c r="E109" i="6"/>
  <c r="E108" i="6"/>
  <c r="E107" i="6"/>
  <c r="E106" i="6"/>
  <c r="E105" i="6"/>
  <c r="E104" i="6"/>
  <c r="E103" i="6"/>
  <c r="E102" i="6"/>
  <c r="F101" i="6"/>
  <c r="E101" i="6"/>
  <c r="E100" i="6"/>
  <c r="H99" i="6"/>
  <c r="G99" i="6"/>
  <c r="F99"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alcChain>
</file>

<file path=xl/sharedStrings.xml><?xml version="1.0" encoding="utf-8"?>
<sst xmlns="http://schemas.openxmlformats.org/spreadsheetml/2006/main" count="3171" uniqueCount="953">
  <si>
    <t>中国企业温室气体排放核算与报告因子库</t>
  </si>
  <si>
    <t>因子库基本信息与使用说明</t>
  </si>
  <si>
    <t>适用时间：</t>
  </si>
  <si>
    <t>2025年1月1日~2025年12月31日</t>
  </si>
  <si>
    <t>编制机构：</t>
  </si>
  <si>
    <t>中国产品全生命周期温室气体排放系数库
CPCD, China Products Carbon Footprint Factors Database</t>
  </si>
  <si>
    <t>中国企业碳排放报告因子库</t>
  </si>
  <si>
    <t>中国企业排放因子库</t>
  </si>
  <si>
    <t>●  欢迎使用中国企业碳排放核算与报告因子库。本因子库汇集中国企业在进行温室气体核算过程中常用排放因子，适用于各类规模的企业和组织。因子也可用于其他目的，但相关使用风险由使用者自行承担。</t>
  </si>
  <si>
    <t>欢迎使用中国企业排放因子库。本因子库汇集中国企业温室气体核算常用排放因子，覆盖固定源燃烧、逸散排放、外购电力与热力，以及范围三中采购商品和服务、资本商品、运输配送、废弃物处置、商务旅行与员工通勤等类别。</t>
  </si>
  <si>
    <t>●  本因子库按照《温室气体核算体系》（Greenhouse Gas Protocol）组织排放源分类，并确定排放因子的边界范围，同时也参考了ISO 14064-1：2018标准的表述和要求，以确保核算结果满足国内、外多种核算与披露要求。</t>
  </si>
  <si>
    <t>本因子库用于帮助企业和第三方服务机构快速定位适用因子、理解核算边界，并形成可追溯的排放核算基础。因子库适用于企业碳盘查、碳管理、披露准备、供应链排放核算和咨询交付；如用于监管报送、审定核查或客户指定口径，应结合适用制度和具体报告边界判断。</t>
  </si>
  <si>
    <t>●  本因子库用于帮助企业和第三方服务机构快速定位适用因子、理解核算边界，并形成可追溯的排放核算基础。因子库适用于企业基于《企业可持续披露准则 第1号——气候（试行）》等相关要求下开展的自愿碳排放核算与披露工作；如用于监管报送、审定核查或客户指定口径，应结合适用制度和具体报告边界判断。</t>
  </si>
  <si>
    <t>首次使用时应如何阅读？</t>
  </si>
  <si>
    <t>●  先明确组织边界、运营边界、核算目的和报告周期，再进入“因子介绍”页定位 Scope 和因子类别。</t>
  </si>
  <si>
    <t>●  进入具体因子页后，核对活动数据单位、因子单位、系统边界、地理范围、数据来源和备注。</t>
  </si>
  <si>
    <t>●  本首页不重复放置每个因子的计算示例、FAQ、更新状态和字段级说明；这些内容以具体因子页为准。</t>
  </si>
  <si>
    <t>本工作簿如何按范围组织？</t>
  </si>
  <si>
    <t>●  范围 1（直接排放）：组织拥有或控制的设施、设备、车辆或工艺活动直接产生的排放，例如固定源和移动源化石燃料燃烧、生物质燃料燃烧中的 CH4/N2O，工业过程（又称“物理或化学工艺排放”）和人为逸散排放（又称“无组织排放”）。</t>
  </si>
  <si>
    <t>●  范围 1（直接排放）：组织拥有或控制的设施、设备、车辆或工艺活动直接产生的排放，例如固定源化石燃料燃烧、生物质燃料燃烧中的 CH4/N2O，以及 ODS 与制冷剂逸散排放。</t>
  </si>
  <si>
    <r>
      <rPr>
        <sz val="12"/>
        <rFont val="仿宋"/>
        <family val="3"/>
        <charset val="134"/>
      </rPr>
      <t>●  范围 2（与外购能源有关的间接排放）：组织</t>
    </r>
    <r>
      <rPr>
        <b/>
        <sz val="12"/>
        <rFont val="仿宋"/>
        <family val="3"/>
        <charset val="134"/>
      </rPr>
      <t>外购</t>
    </r>
    <r>
      <rPr>
        <sz val="12"/>
        <rFont val="仿宋"/>
        <family val="3"/>
        <charset val="134"/>
      </rPr>
      <t>并消耗的电力、热力、蒸汽、冷量以及压缩空气对应的间接排放。本库当前包括外购电力和外购热力。</t>
    </r>
  </si>
  <si>
    <t>●  范围 2（能源间接排放）：组织外购并消耗的电力、热力、蒸汽或冷量对应的间接排放。本库当前包括外购电力和外购热力。</t>
  </si>
  <si>
    <t>●  范围 3（其他间接排放）：除范围 2 以外，由组织活动引起但发生在价值链上下游、且不由组织拥有或控制的其他间接排放。本库当前覆盖类别 1（外购商品和服务）、2（资本商品）、3（能源相关排放）、4（上游运输和配送）、5（运营废弃物处理）、6（商务出行）、7（员工通勤）、9（下游运输和配送）。</t>
  </si>
  <si>
    <t>●  范围 3（其他间接排放）：除范围 2 以外，由组织活动引起但发生在价值链上下游、且不由组织拥有或控制的其他间接排放。本库当前覆盖类别 1、2、4、5、6、7、9。</t>
  </si>
  <si>
    <t>●  车辆、办公室或工厂排放应归入范围一（直接排放）还是范围三（其他间接排放），取决于公司合并控制边界（财务控制、运营控制或股权比例）的定义，《温室气体核算体系》提供了明确指引。同时，准确核算排放还取决于理解温室气体清单的预期用途（见 ISO 14064-1）并一致应用边界。</t>
  </si>
  <si>
    <t>基于位置方法（location-based）与基于市场方法（market-based）核算的提醒</t>
  </si>
  <si>
    <t>WTT、T&amp;D 与重复计算提醒</t>
  </si>
  <si>
    <r>
      <rPr>
        <sz val="12"/>
        <rFont val="仿宋"/>
        <family val="3"/>
        <charset val="134"/>
      </rPr>
      <t>基于位置方法（location-based）是按用电所在地电网平均排放因子核算外购电力排放；基于市场方法（market-based）是按企业通过合同、绿电交易、绿证等取得的特定电力环境属性核算外购电力排放。按照《温室气体核算体系》系列标准要求：</t>
    </r>
    <r>
      <rPr>
        <b/>
        <sz val="12"/>
        <rFont val="仿宋"/>
        <family val="3"/>
        <charset val="134"/>
      </rPr>
      <t>默认采用 location-based</t>
    </r>
    <r>
      <rPr>
        <sz val="12"/>
        <rFont val="仿宋"/>
        <family val="3"/>
        <charset val="134"/>
      </rPr>
      <t xml:space="preserve">；仅在企业所在市场存在可用于分配电力排放属性的“合同工具”（contractual instruments）时，方可采用 market-based </t>
    </r>
    <r>
      <rPr>
        <b/>
        <sz val="12"/>
        <rFont val="仿宋"/>
        <family val="3"/>
        <charset val="134"/>
      </rPr>
      <t>作为补充披露口径</t>
    </r>
    <r>
      <rPr>
        <sz val="12"/>
        <rFont val="仿宋"/>
        <family val="3"/>
        <charset val="134"/>
      </rPr>
      <t>。</t>
    </r>
  </si>
  <si>
    <t>使用者应决定是否在范围三中纳入能源上游排放。WTT（Well-to-Tank）指燃料或电力在最终使用前的生产、加工、运输等上游能源供应排放；T&amp;D（Transmission and Distribution）指电力输配过程损耗对应的间接排放。相关口径应在同一核算周期内保持一致。</t>
  </si>
  <si>
    <t>●  企业通过“合同工具”等方式采购非化石能源并取得对应电力环境属性，且能证明该电量已实际执行、结算、归属于本报告主体且未被重复使用时，可采用 market-based 核算相应电量。</t>
  </si>
  <si>
    <t>●  同一运输活动不得同时把 WTT、TTW 和 WTW 因子简单相加；若选择 WTW，通常不再单独叠加 WTT 或 TTW。</t>
  </si>
  <si>
    <r>
      <rPr>
        <sz val="12"/>
        <rFont val="仿宋"/>
        <family val="3"/>
        <charset val="134"/>
      </rPr>
      <t>●  按照国家标准《工业企业温室气体排放核算和报告通则》（GB/T 32150-2025）要求，企业使用特定项目的非化石能源电力排放因子时应提供以下信息：</t>
    </r>
    <r>
      <rPr>
        <b/>
        <sz val="12"/>
        <rFont val="仿宋"/>
        <family val="3"/>
        <charset val="134"/>
      </rPr>
      <t>发电与用电双方签订的市场化交易合同</t>
    </r>
    <r>
      <rPr>
        <sz val="12"/>
        <rFont val="仿宋"/>
        <family val="3"/>
        <charset val="134"/>
      </rPr>
      <t>,以及</t>
    </r>
    <r>
      <rPr>
        <b/>
        <sz val="12"/>
        <rFont val="仿宋"/>
        <family val="3"/>
        <charset val="134"/>
      </rPr>
      <t>按合同执行的绿色电力证书交易凭证</t>
    </r>
    <r>
      <rPr>
        <sz val="12"/>
        <rFont val="仿宋"/>
        <family val="3"/>
        <charset val="134"/>
      </rPr>
      <t>和由省级及以上电力交易机构出具的</t>
    </r>
    <r>
      <rPr>
        <b/>
        <sz val="12"/>
        <rFont val="仿宋"/>
        <family val="3"/>
        <charset val="134"/>
      </rPr>
      <t>交易结算凭证</t>
    </r>
    <r>
      <rPr>
        <sz val="12"/>
        <rFont val="仿宋"/>
        <family val="3"/>
        <charset val="134"/>
      </rPr>
      <t>。</t>
    </r>
  </si>
  <si>
    <t>●  外购电力已纳入范围二后，不应再在电动车充电、设备用电、场地用电等类别中重复计入；绿电、绿证或现场可再生能源不得重复抵扣。</t>
  </si>
  <si>
    <t>●  现场自发自用可再生电力通常不作为外购电力排放计入。</t>
  </si>
  <si>
    <t>重复计算与负排放提醒</t>
  </si>
  <si>
    <t>●  排放因子不包含负排放技术或抵销量的排放因子。</t>
  </si>
  <si>
    <t>●  外购热力与自有锅炉燃料燃烧、采购商品生命周期边界与运输或废弃物处置边界如有重叠，应在报告中说明并避免重复。</t>
  </si>
  <si>
    <t>如何计算排放？</t>
  </si>
  <si>
    <t>导航到与活动相对应的因子页，阅读该页说明，收集或估算活动数据，再用活动数据乘以相应排放因子。若活动数据单位与因子单位不一致，应先完成单位换算。</t>
  </si>
  <si>
    <t>排放量 = 活动数据 × 排放因子</t>
  </si>
  <si>
    <t>温室气体、CO2e 与 GWP 说明</t>
  </si>
  <si>
    <t>●  《京都议定书》及其修正案明确七类主要温室气体：二氧化碳（CO2）、甲烷（CH4）、氧化亚氮（N2O）、氢氟碳化物（HFCs）、全氟碳化物（PFCs）、六氟化硫（SF6）和三氟化氮（NF3），与我国《省级温室气体清单编制指南（2025 年版）》中对温室气体定义一致。不同活动会排放不同气体，用户应报告其特定活动产生的《京都议定书》温室气体。</t>
  </si>
  <si>
    <t>●  本文件列示的所有因子单位均为“每X单位活动产生Y气体的千克二氧化碳当量”（kg CO2e of Y per X），其中Y为温室气体气体，X为活动单位。CO2e是表示温室气体全球变暖潜势（GWP）的通用计量单位，以一单位二氧化碳的GWP表示。</t>
  </si>
  <si>
    <r>
      <rPr>
        <sz val="12"/>
        <rFont val="仿宋"/>
        <family val="3"/>
        <charset val="134"/>
      </rPr>
      <t>●  CO2e计算采用的GWP与国家温室气体排放因子库、《省级温室气体清单编制指南（2025 年版）》一致，采用政府间气候变化专门委员会（IPCC）</t>
    </r>
    <r>
      <rPr>
        <b/>
        <sz val="12"/>
        <rFont val="仿宋"/>
        <family val="3"/>
        <charset val="134"/>
      </rPr>
      <t>第五次评估报告（AR5）的100年时间尺度</t>
    </r>
    <r>
      <rPr>
        <sz val="12"/>
        <rFont val="仿宋"/>
        <family val="3"/>
        <charset val="134"/>
      </rPr>
      <t>，以确保排放因子与现行国内及国际报告要求一致。同一核算周期内应统一 GWP 版本，不应混用 AR5 与 AR6 后直接汇总。</t>
    </r>
  </si>
  <si>
    <r>
      <rPr>
        <sz val="12"/>
        <rFont val="仿宋"/>
        <family val="3"/>
        <charset val="134"/>
      </rPr>
      <t>●  本因子库中每项活动至少提供一个因子，用于计算所有相关温室气体合计排放（每单位活动kg CO2e）。此外，许多活动还将该合计因子拆分为各气体的单项因子</t>
    </r>
    <r>
      <rPr>
        <sz val="12"/>
        <color rgb="FFFFC000"/>
        <rFont val="仿宋"/>
        <family val="3"/>
        <charset val="134"/>
      </rPr>
      <t>（即每单位活动中CO2/CH4/N2O对应的kg CO2e）</t>
    </r>
    <r>
      <rPr>
        <sz val="12"/>
        <rFont val="仿宋"/>
        <family val="3"/>
        <charset val="134"/>
      </rPr>
      <t>。原则上这些气体单项值之和应等于总kg CO2e；但请注意，由于四舍五入，本发布版中部分kg CO2e数值可能与组成气体之和不完全一致。</t>
    </r>
  </si>
  <si>
    <t>本库覆盖 CO2、CH4、N2O，以及 HFC、PFC、SF6、NF3 等含氟气体或工业气体。CO2e 用于将不同温室气体按照全球增温潜势（GWP）折算到同一计量口径。当前表中固定源燃烧 CO2e 按 CH4×28、N2O×265 折算；ODS 与制冷剂页以 IPCC AR5 作为中国制度主口径，并保留 AR6 对照字段。</t>
  </si>
  <si>
    <t>同一核算周期内应统一 GWP 版本，不应混用 AR5 与 AR6 后直接汇总。</t>
  </si>
  <si>
    <t>气体</t>
  </si>
  <si>
    <r>
      <rPr>
        <b/>
        <sz val="10"/>
        <color theme="0"/>
        <rFont val="仿宋"/>
        <family val="3"/>
        <charset val="134"/>
      </rPr>
      <t>GWP</t>
    </r>
    <r>
      <rPr>
        <b/>
        <vertAlign val="subscript"/>
        <sz val="10"/>
        <color theme="0"/>
        <rFont val="仿宋"/>
        <family val="3"/>
        <charset val="134"/>
      </rPr>
      <t>100</t>
    </r>
  </si>
  <si>
    <r>
      <rPr>
        <sz val="10"/>
        <rFont val="Arial"/>
        <family val="2"/>
      </rPr>
      <t>CO</t>
    </r>
    <r>
      <rPr>
        <vertAlign val="subscript"/>
        <sz val="10"/>
        <rFont val="Arial"/>
        <family val="2"/>
      </rPr>
      <t>2</t>
    </r>
  </si>
  <si>
    <r>
      <rPr>
        <sz val="10"/>
        <rFont val="Arial"/>
        <family val="2"/>
      </rPr>
      <t>CH</t>
    </r>
    <r>
      <rPr>
        <vertAlign val="subscript"/>
        <sz val="10"/>
        <rFont val="Arial"/>
        <family val="2"/>
      </rPr>
      <t>4</t>
    </r>
  </si>
  <si>
    <r>
      <rPr>
        <sz val="10"/>
        <rFont val="Arial"/>
        <family val="2"/>
      </rPr>
      <t>N</t>
    </r>
    <r>
      <rPr>
        <vertAlign val="subscript"/>
        <sz val="10"/>
        <rFont val="Arial"/>
        <family val="2"/>
      </rPr>
      <t>2</t>
    </r>
    <r>
      <rPr>
        <sz val="10"/>
        <rFont val="Arial"/>
        <family val="2"/>
      </rPr>
      <t>O</t>
    </r>
  </si>
  <si>
    <r>
      <rPr>
        <sz val="10"/>
        <rFont val="Arial"/>
        <family val="2"/>
      </rPr>
      <t>SF</t>
    </r>
    <r>
      <rPr>
        <vertAlign val="subscript"/>
        <sz val="10"/>
        <rFont val="Arial"/>
        <family val="2"/>
      </rPr>
      <t>6</t>
    </r>
  </si>
  <si>
    <r>
      <rPr>
        <sz val="10"/>
        <rFont val="Arial"/>
        <family val="2"/>
      </rPr>
      <t>NF</t>
    </r>
    <r>
      <rPr>
        <vertAlign val="subscript"/>
        <sz val="10"/>
        <rFont val="Arial"/>
        <family val="2"/>
      </rPr>
      <t>3</t>
    </r>
  </si>
  <si>
    <t>Source:Myhre G, Shindell D, Bréon F M, Collins W, Fuglestvedt J, Huang J, et al. Anthropogenic and natural radiative forcing[M]//Stocker T F, Qin D, Plattner G K, et al., eds. Climate Change 2013: The Physical Science Basis: Contribution of Working Group I to the Fifth Assessment Report of the Intergovernmental Panel on Climate Change. Cambridge: Cambridge University Press, 2013: 659-740.</t>
  </si>
  <si>
    <t>建议引用格式与声明</t>
  </si>
  <si>
    <t>引用、声明和联系方式</t>
  </si>
  <si>
    <t>●  推荐引用格式：中国城市温室气体工作组（CCG）. 中国企业温室气体核算与报告因子库[DB/OL]. 2026. http://lca.cityghg.com/.</t>
  </si>
  <si>
    <t>推荐引用格式：中国企业排放因子库项目组. 中国企业排放因子表[R/DB]. 2026。引用具体因子时，建议同时标注因子类别、因子名称、原始数据来源、来源年份或数据期间，以及本因子库发布年份。</t>
  </si>
  <si>
    <t>●  本因子库用于企业温室气体核算、碳管理和相关研究工作的因子查询与参考。使用者应根据自身组织边界、活动数据质量、适用报告制度和具体核算目的判断因子适用性。因使用不当、边界设定不一致、数据口径不匹配或重复计算造成的结果偏差，由使用者自行承担。</t>
  </si>
  <si>
    <t>本因子库用于企业温室气体核算、碳管理和相关研究工作的因子查询与参考。使用者应根据自身组织边界、活动数据质量、适用报告制度和具体核算目的判断因子适用性。因使用不当、边界设定不一致、数据口径不匹配或重复计算造成的结果偏差，由使用者自行承担。</t>
  </si>
  <si>
    <t>联系方式</t>
  </si>
  <si>
    <t>●  如有技术问题，请联系温室气体统计团队：</t>
  </si>
  <si>
    <t>技术咨询、数据勘误、引用授权和合作沟通入口待项目组补充；正式发布时建议设置统一联系邮箱，并区分“口径咨询”“数据勘误”“合作与引用”三类事项。</t>
  </si>
  <si>
    <t>中国企业碳排放核算与报告因子库</t>
  </si>
  <si>
    <t>导航目录</t>
  </si>
  <si>
    <t>使用说明</t>
  </si>
  <si>
    <t>Index for navigation and sheet guide</t>
  </si>
  <si>
    <t>基本信息</t>
  </si>
  <si>
    <t>因子库总体介绍，并为首次使用者提供如何使用这些因子计算排放的指引。</t>
  </si>
  <si>
    <t>本工作表，按 Scope 分类列出各因子类别及其内容、边界提示、来源和贡献者名单</t>
  </si>
  <si>
    <t>范围一因子介绍</t>
  </si>
  <si>
    <t>页签 / 因子类别</t>
  </si>
  <si>
    <t>内容说明</t>
  </si>
  <si>
    <t>贡献与分工</t>
  </si>
  <si>
    <t>固定源燃烧-化石燃料</t>
  </si>
  <si>
    <t>用于核算企业拥有或控制的固定设施、设备或工艺中燃烧煤炭、石油、天然气等化石燃料产生的 CO2、CH4、N2O 排放。</t>
  </si>
  <si>
    <t>固定源燃烧-生物质燃料</t>
  </si>
  <si>
    <t>用于核算薪柴、农业废弃物、沼气、生物柴油、生物汽油等生物质燃料在不同应用场景下燃烧产生的排放。生物源 CO2用于单独披露，通常不计入温室气体总量；CH4、N2O计入CO2e。</t>
  </si>
  <si>
    <t>工业生产过程</t>
  </si>
  <si>
    <t>ODS与制冷剂</t>
  </si>
  <si>
    <t>用于核算 HFC、PFC、SF6、NF3 以及混合制冷剂等在设备充注、使用、维护、报废或泄漏过程中的逸散排放。</t>
  </si>
  <si>
    <t>范围二因子介绍</t>
  </si>
  <si>
    <t>外购电力</t>
  </si>
  <si>
    <t>用于核算企业在其拥有或控制场所使用电力产生的排放。本清单中的排放因子适用于组织购买的电网供电，不包括电力输配电相关排放。</t>
  </si>
  <si>
    <t>外购热力</t>
  </si>
  <si>
    <t>用于核算企业净购入使用热力、蒸汽或热水产生的二氧化碳排放</t>
  </si>
  <si>
    <t>范围三因子介绍</t>
  </si>
  <si>
    <t xml:space="preserve">类别1 购买的商品和服务 </t>
  </si>
  <si>
    <t>用于核算企业采购原材料、包材、辅料、商品、服务以及资本商品所对应的上游排放。</t>
  </si>
  <si>
    <t>类别2 资本商品</t>
  </si>
  <si>
    <t>类别3 燃料和能源相关活动</t>
  </si>
  <si>
    <t>类别4 &amp; 类别9 运输排放因子</t>
  </si>
  <si>
    <t>用于核算上游运输和配送、下游运输和配送中的货物运输排放，覆盖公路、冷链公路、航空、铁路、内河水运及沿海/远洋航运等运输方式。</t>
  </si>
  <si>
    <t>类别5 运营中产生的废弃物</t>
  </si>
  <si>
    <t>用于核算企业运营产生并委外处理的固体废弃物、危险废物、厨余或生活垃圾，以及排入市政管网的废水处理排放。</t>
  </si>
  <si>
    <t>类别6 商务旅行 &amp; 类别7 员工通勤</t>
  </si>
  <si>
    <t>用于核算员工商务旅行和通勤活动中的客运排放，覆盖陆运、铁路、航空、水运，以及商务住宿相关因子。</t>
  </si>
  <si>
    <t>缩写与释义</t>
  </si>
  <si>
    <t>英文缩写</t>
  </si>
  <si>
    <t>定义</t>
  </si>
  <si>
    <t>AR 5/AR 6</t>
  </si>
  <si>
    <t>第五次评估报告/第六次评估报告</t>
  </si>
  <si>
    <t>CH4</t>
  </si>
  <si>
    <t>甲烷</t>
  </si>
  <si>
    <t>CNG</t>
  </si>
  <si>
    <t>压缩天然气</t>
  </si>
  <si>
    <t>CO2</t>
  </si>
  <si>
    <t>二氧化碳</t>
  </si>
  <si>
    <t>GHG</t>
  </si>
  <si>
    <t>温室气体</t>
  </si>
  <si>
    <t>GWP</t>
  </si>
  <si>
    <t>全球变暖潜势</t>
  </si>
  <si>
    <t>HFCs</t>
  </si>
  <si>
    <t>氢氟碳化物</t>
  </si>
  <si>
    <t>IPCC</t>
  </si>
  <si>
    <t>政府间气候变化专门委员会</t>
  </si>
  <si>
    <t>LCA</t>
  </si>
  <si>
    <t>生命周期评价</t>
  </si>
  <si>
    <t>LNG</t>
  </si>
  <si>
    <t>液化天然气</t>
  </si>
  <si>
    <t>LPG</t>
  </si>
  <si>
    <t>液化石油气</t>
  </si>
  <si>
    <t>NCV</t>
  </si>
  <si>
    <t>低位热值</t>
  </si>
  <si>
    <t>N2O</t>
  </si>
  <si>
    <t>氧化亚氮</t>
  </si>
  <si>
    <t>PFCs</t>
  </si>
  <si>
    <t>全氟碳化物</t>
  </si>
  <si>
    <t>T&amp;D</t>
  </si>
  <si>
    <t>输配电</t>
  </si>
  <si>
    <t>WTT</t>
  </si>
  <si>
    <t>井到油箱（即燃料或电力生产的上游排放）</t>
  </si>
  <si>
    <t>WTW</t>
  </si>
  <si>
    <t>井到车轮（=井到油箱+油箱到车轮）</t>
  </si>
  <si>
    <t>xEV</t>
  </si>
  <si>
    <t>纯电动汽车（BEV）、插电式混合动力汽车（PHEV）、增程式电动汽车（REEV）和燃料电池电动汽车（FCEV）的统称</t>
  </si>
  <si>
    <t>范围一排放因子数据集</t>
  </si>
  <si>
    <t>适用对象：</t>
  </si>
  <si>
    <t>排放发生在中国组织</t>
  </si>
  <si>
    <t>排放边界：</t>
  </si>
  <si>
    <t>固定源燃烧、移动源燃烧、工业过程、人为逸散、生物源燃烧</t>
  </si>
  <si>
    <t>GHG种类：</t>
  </si>
  <si>
    <t>CO2、CH4、N2O、HFCs、PFCs</t>
  </si>
  <si>
    <t>因子类别与数值</t>
  </si>
  <si>
    <t>排放源</t>
  </si>
  <si>
    <t>燃料/物料/过程</t>
  </si>
  <si>
    <t>活动数据单位</t>
  </si>
  <si>
    <t>kg CO2e</t>
  </si>
  <si>
    <r>
      <rPr>
        <b/>
        <sz val="12"/>
        <color theme="0"/>
        <rFont val="仿宋"/>
        <family val="3"/>
        <charset val="134"/>
      </rPr>
      <t>kg CO</t>
    </r>
    <r>
      <rPr>
        <b/>
        <sz val="12"/>
        <color theme="0"/>
        <rFont val="Times New Roman"/>
        <family val="1"/>
      </rPr>
      <t>₂</t>
    </r>
  </si>
  <si>
    <r>
      <rPr>
        <b/>
        <sz val="12"/>
        <color theme="0"/>
        <rFont val="仿宋"/>
        <family val="3"/>
        <charset val="134"/>
      </rPr>
      <t>kg CH</t>
    </r>
    <r>
      <rPr>
        <b/>
        <sz val="12"/>
        <color theme="0"/>
        <rFont val="Times New Roman"/>
        <family val="1"/>
      </rPr>
      <t>₄</t>
    </r>
  </si>
  <si>
    <r>
      <rPr>
        <b/>
        <sz val="12"/>
        <color theme="0"/>
        <rFont val="仿宋"/>
        <family val="3"/>
        <charset val="134"/>
      </rPr>
      <t>kg N</t>
    </r>
    <r>
      <rPr>
        <b/>
        <sz val="12"/>
        <color theme="0"/>
        <rFont val="Times New Roman"/>
        <family val="1"/>
      </rPr>
      <t>₂</t>
    </r>
    <r>
      <rPr>
        <b/>
        <sz val="12"/>
        <color theme="0"/>
        <rFont val="仿宋"/>
        <family val="3"/>
        <charset val="134"/>
      </rPr>
      <t>O</t>
    </r>
  </si>
  <si>
    <t>其他温室气体类别</t>
  </si>
  <si>
    <t>备注</t>
  </si>
  <si>
    <t>固定源燃烧</t>
  </si>
  <si>
    <t>电煤</t>
  </si>
  <si>
    <t>TJ</t>
  </si>
  <si>
    <t>t</t>
  </si>
  <si>
    <t>无烟煤</t>
  </si>
  <si>
    <t>炼焦烟煤</t>
  </si>
  <si>
    <t>一般烟煤</t>
  </si>
  <si>
    <t>褐煤</t>
  </si>
  <si>
    <t>煤制品</t>
  </si>
  <si>
    <t>焦炭</t>
  </si>
  <si>
    <t>焦炉煤气</t>
  </si>
  <si>
    <t>万Nm³</t>
  </si>
  <si>
    <t>高炉煤气</t>
  </si>
  <si>
    <t>转炉煤气</t>
  </si>
  <si>
    <t>其他煤气</t>
  </si>
  <si>
    <t>原油</t>
  </si>
  <si>
    <t>m³</t>
  </si>
  <si>
    <t>汽油</t>
  </si>
  <si>
    <t>航空汽油</t>
  </si>
  <si>
    <t>煤油</t>
  </si>
  <si>
    <t>喷气煤油(航空煤油)</t>
  </si>
  <si>
    <t>柴油</t>
  </si>
  <si>
    <t>燃料油</t>
  </si>
  <si>
    <t>石脑油</t>
  </si>
  <si>
    <t>润滑油</t>
  </si>
  <si>
    <t>石蜡</t>
  </si>
  <si>
    <t>溶剂油</t>
  </si>
  <si>
    <t>石油沥青</t>
  </si>
  <si>
    <t>石油焦</t>
  </si>
  <si>
    <t>炼厂干气</t>
  </si>
  <si>
    <t>其他石油制品</t>
  </si>
  <si>
    <t>天然气</t>
  </si>
  <si>
    <t>液化天然气(LNG)</t>
  </si>
  <si>
    <t>移动源燃烧</t>
  </si>
  <si>
    <t>柴油-水运</t>
  </si>
  <si>
    <t>燃料油-水运</t>
  </si>
  <si>
    <t>液化石油气-水运</t>
  </si>
  <si>
    <t>汽油-道路</t>
  </si>
  <si>
    <t>升</t>
  </si>
  <si>
    <t>柴油-道路</t>
  </si>
  <si>
    <t>液化石油气-道路</t>
  </si>
  <si>
    <t>天然气-道路</t>
  </si>
  <si>
    <r>
      <rPr>
        <sz val="12"/>
        <rFont val="仿宋"/>
        <family val="3"/>
        <charset val="134"/>
      </rPr>
      <t>亿Nm</t>
    </r>
    <r>
      <rPr>
        <sz val="12"/>
        <rFont val="宋体"/>
        <family val="3"/>
        <charset val="134"/>
      </rPr>
      <t>³</t>
    </r>
  </si>
  <si>
    <t>液化天然气(LNG)-道路</t>
  </si>
  <si>
    <t>移动源燃烧-生物燃料</t>
  </si>
  <si>
    <t>生物汽油</t>
  </si>
  <si>
    <t>生物柴油</t>
  </si>
  <si>
    <t>方解石、文石和石灰石(CaCO₃)</t>
  </si>
  <si>
    <t>t 碳酸盐</t>
  </si>
  <si>
    <t>菱镁石(MgCO₃)</t>
  </si>
  <si>
    <t>碳酸钠或纯碱(Na₂CO₃)</t>
  </si>
  <si>
    <t>碳酸氢钠(NaHCO₃)</t>
  </si>
  <si>
    <t>菱铁矿或碳酸铁(FeCO₃)</t>
  </si>
  <si>
    <t>菱锰矿(MnCO₃)</t>
  </si>
  <si>
    <t>碳酸钡(BaCO₃)</t>
  </si>
  <si>
    <t>碳酸锂(Li₂CO₃)</t>
  </si>
  <si>
    <t>碳酸钾(K₂CO₃)</t>
  </si>
  <si>
    <t>碳酸锶(SrCO₃)</t>
  </si>
  <si>
    <t>白云石(CaMg(CO₃)₂)</t>
  </si>
  <si>
    <t>铁白云石(Ca(Fe,Mg,Mn)(CO₃)₂)</t>
  </si>
  <si>
    <t>400~480</t>
  </si>
  <si>
    <t>硅酸盐水泥熟料</t>
  </si>
  <si>
    <t>白色硅酸盐水泥熟料</t>
  </si>
  <si>
    <t>硫(铁)铝酸盐水泥熟料</t>
  </si>
  <si>
    <t>铝酸盐水泥熟料</t>
  </si>
  <si>
    <t>炭阳极消耗过程</t>
  </si>
  <si>
    <t>t-Al</t>
  </si>
  <si>
    <t>电解铝四氟化碳</t>
  </si>
  <si>
    <r>
      <rPr>
        <sz val="12"/>
        <rFont val="仿宋"/>
        <family val="3"/>
        <charset val="134"/>
      </rPr>
      <t>CF</t>
    </r>
    <r>
      <rPr>
        <sz val="12"/>
        <rFont val="Times New Roman"/>
        <family val="1"/>
      </rPr>
      <t>₄</t>
    </r>
  </si>
  <si>
    <t>电解铝六氟化二碳</t>
  </si>
  <si>
    <r>
      <rPr>
        <sz val="12"/>
        <rFont val="仿宋"/>
        <family val="3"/>
        <charset val="134"/>
      </rPr>
      <t>C</t>
    </r>
    <r>
      <rPr>
        <sz val="12"/>
        <rFont val="Times New Roman"/>
        <family val="1"/>
      </rPr>
      <t>₂</t>
    </r>
    <r>
      <rPr>
        <sz val="12"/>
        <rFont val="仿宋"/>
        <family val="3"/>
        <charset val="134"/>
      </rPr>
      <t>F</t>
    </r>
    <r>
      <rPr>
        <sz val="12"/>
        <rFont val="Times New Roman"/>
        <family val="1"/>
      </rPr>
      <t>₆</t>
    </r>
  </si>
  <si>
    <t>平板玻璃生产过程</t>
  </si>
  <si>
    <t>万重量箱</t>
  </si>
  <si>
    <t>硝酸生产过程-高压法</t>
  </si>
  <si>
    <t>t Nitric Acid</t>
  </si>
  <si>
    <t>硝酸生产过程-中压法</t>
  </si>
  <si>
    <t>硝酸生产过程-低压法</t>
  </si>
  <si>
    <t>硝酸生产过程-双加压法</t>
  </si>
  <si>
    <t>己二酸生产过程-环己烷法</t>
  </si>
  <si>
    <t>t Adipic Acid</t>
  </si>
  <si>
    <t>己二酸生产过程-环己醇法</t>
  </si>
  <si>
    <t>销毁三氟甲烷过程</t>
  </si>
  <si>
    <t>t HFC-23</t>
  </si>
  <si>
    <t>固定源燃烧-生物燃料</t>
  </si>
  <si>
    <t>农业废弃物-公用电力和热力(锅炉)</t>
  </si>
  <si>
    <t>薪柴-公用电力和热力(锅炉)</t>
  </si>
  <si>
    <t>沼气-公用电力和热力</t>
  </si>
  <si>
    <t>人为逸散排放</t>
  </si>
  <si>
    <t>HFC-23</t>
  </si>
  <si>
    <t>kg</t>
  </si>
  <si>
    <t>HFC</t>
  </si>
  <si>
    <t>CHF3</t>
  </si>
  <si>
    <t>HFC-32</t>
  </si>
  <si>
    <t>CH2F2</t>
  </si>
  <si>
    <t>HFC-41</t>
  </si>
  <si>
    <t>CH3F</t>
  </si>
  <si>
    <t>HFC-125</t>
  </si>
  <si>
    <t>CHF2CF3</t>
  </si>
  <si>
    <t>HFC-134</t>
  </si>
  <si>
    <t>CHF2CHF2</t>
  </si>
  <si>
    <t>HFC-134a</t>
  </si>
  <si>
    <t>CH2FCF3</t>
  </si>
  <si>
    <t>HFC-143</t>
  </si>
  <si>
    <t>CH2FCHF2</t>
  </si>
  <si>
    <t>HFC-143a</t>
  </si>
  <si>
    <t>CH3CF3</t>
  </si>
  <si>
    <t>HFC-152a</t>
  </si>
  <si>
    <t>CH3CHF2</t>
  </si>
  <si>
    <t>HFC-227ea</t>
  </si>
  <si>
    <t>CF3CHFCF3</t>
  </si>
  <si>
    <t>HFC-236fa</t>
  </si>
  <si>
    <t>CF3CH2CF3</t>
  </si>
  <si>
    <t>HFC-245fa</t>
  </si>
  <si>
    <t>CHF2CH2CF3</t>
  </si>
  <si>
    <t>HFC-43-I0mee</t>
  </si>
  <si>
    <t>CF3CHFCHFCF2CF3</t>
  </si>
  <si>
    <t>全氟甲烷(PFC-14)</t>
  </si>
  <si>
    <t>PFC</t>
  </si>
  <si>
    <t>CF4</t>
  </si>
  <si>
    <t>全氟乙烷(PFC-116)</t>
  </si>
  <si>
    <t>C2F6</t>
  </si>
  <si>
    <t>全氟丙烷(PFC-218)</t>
  </si>
  <si>
    <t>C3F8</t>
  </si>
  <si>
    <t>全氟环丁烷(PFC-318)</t>
  </si>
  <si>
    <t>c-C4F8</t>
  </si>
  <si>
    <t>全氟丁烷(PFC-3-1-10)</t>
  </si>
  <si>
    <t>C4F10</t>
  </si>
  <si>
    <t>全氟戊烷(PFC-4-1-12)</t>
  </si>
  <si>
    <t>C5F12</t>
  </si>
  <si>
    <t>全氟己烷(PFC-5-1-14)</t>
  </si>
  <si>
    <t>C6F14</t>
  </si>
  <si>
    <t>PFC-9-1-18</t>
  </si>
  <si>
    <t>C10F18</t>
  </si>
  <si>
    <t>全氟环丙烷</t>
  </si>
  <si>
    <t>c-C3F6</t>
  </si>
  <si>
    <t>HFC-152</t>
  </si>
  <si>
    <t>CH2FCH2F</t>
  </si>
  <si>
    <t>HFC-161</t>
  </si>
  <si>
    <t>CH3CH2F</t>
  </si>
  <si>
    <t>HFC-236cb</t>
  </si>
  <si>
    <t>CH2FCF2CF3</t>
  </si>
  <si>
    <t>HFC-236ea</t>
  </si>
  <si>
    <t>CHF2CHFCF3</t>
  </si>
  <si>
    <t>HFC-245ca</t>
  </si>
  <si>
    <t>CH2FCF2CHF2</t>
  </si>
  <si>
    <t>HFC-365mfc</t>
  </si>
  <si>
    <t>CH3CF2CH2CF3</t>
  </si>
  <si>
    <t>R401A</t>
  </si>
  <si>
    <t>混合制冷剂</t>
  </si>
  <si>
    <t>R401B</t>
  </si>
  <si>
    <t>R401C</t>
  </si>
  <si>
    <t>R402A</t>
  </si>
  <si>
    <t>R402B</t>
  </si>
  <si>
    <t>R403A</t>
  </si>
  <si>
    <t>R403B</t>
  </si>
  <si>
    <t>R404A</t>
  </si>
  <si>
    <t>R405A</t>
  </si>
  <si>
    <t>R406A</t>
  </si>
  <si>
    <t>/</t>
  </si>
  <si>
    <t>R407A</t>
  </si>
  <si>
    <t>R407B</t>
  </si>
  <si>
    <t>R407C</t>
  </si>
  <si>
    <t>R407D</t>
  </si>
  <si>
    <t>R407E</t>
  </si>
  <si>
    <t>R407F</t>
  </si>
  <si>
    <t>R408A</t>
  </si>
  <si>
    <t>R409A</t>
  </si>
  <si>
    <t>R409B</t>
  </si>
  <si>
    <t>R410A</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</si>
  <si>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</si>
  <si>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</si>
  <si>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</si>
  <si>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</si>
  <si>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</si>
  <si>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</si>
  <si>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</si>
  <si>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</si>
  <si>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</si>
  <si>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</si>
  <si>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</si>
  <si>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</si>
  <si>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</si>
  <si>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</si>
  <si>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</si>
  <si>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</si>
  <si>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</si>
  <si>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</si>
  <si>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</si>
  <si>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</si>
  <si>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</si>
  <si>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</si>
  <si>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</si>
  <si>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</si>
  <si>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</si>
  <si>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</si>
  <si>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</si>
  <si>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</si>
  <si>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</si>
  <si>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</si>
  <si>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</si>
  <si>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</si>
  <si>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</si>
  <si>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</si>
  <si>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</si>
  <si>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</si>
  <si>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</si>
  <si>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</si>
  <si>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</si>
  <si>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</si>
  <si>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</si>
  <si>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</si>
  <si>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</si>
  <si>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</si>
  <si>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</si>
  <si>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</si>
  <si>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</si>
  <si>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</si>
  <si>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</si>
  <si>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</si>
  <si>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</si>
  <si>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</si>
  <si>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R502</t>
  </si>
  <si>
    <t>R503</t>
  </si>
  <si>
    <t>R504</t>
  </si>
  <si>
    <t>R505</t>
  </si>
  <si>
    <t>R506</t>
  </si>
  <si>
    <t>R507A</t>
  </si>
  <si>
    <t>R508A</t>
  </si>
  <si>
    <t>R508B</t>
  </si>
  <si>
    <t>R509A</t>
  </si>
  <si>
    <t>R510A</t>
  </si>
  <si>
    <t>R511A</t>
  </si>
  <si>
    <t>R512A</t>
  </si>
  <si>
    <t>范围二排放因子数据集</t>
  </si>
  <si>
    <t>外购电力、外购热力</t>
  </si>
  <si>
    <t>排放源类别</t>
  </si>
  <si>
    <t>能源类型</t>
  </si>
  <si>
    <t>区域</t>
  </si>
  <si>
    <t>电力</t>
  </si>
  <si>
    <t>全国平均</t>
  </si>
  <si>
    <t>kWh</t>
  </si>
  <si>
    <t>不包括香港、澳门、台湾</t>
  </si>
  <si>
    <t>华北</t>
  </si>
  <si>
    <t>北京、天津、河北、山西、内蒙古、山东</t>
  </si>
  <si>
    <t>东北</t>
  </si>
  <si>
    <t>辽宁、吉林、黑龙江</t>
  </si>
  <si>
    <t>华东</t>
  </si>
  <si>
    <t>上海、江苏、浙江、安徽、福建</t>
  </si>
  <si>
    <t>华中</t>
  </si>
  <si>
    <t>河南、湖北、湖南、江西</t>
  </si>
  <si>
    <t>西北</t>
  </si>
  <si>
    <t>陕西、甘肃、青海、宁夏、新疆</t>
  </si>
  <si>
    <t>南方</t>
  </si>
  <si>
    <t>广东、广西、海南、贵州、云南</t>
  </si>
  <si>
    <t>西南</t>
  </si>
  <si>
    <t>四川、重庆、西藏</t>
  </si>
  <si>
    <t>北京</t>
  </si>
  <si>
    <t>天津</t>
  </si>
  <si>
    <t>河北</t>
  </si>
  <si>
    <t>山西</t>
  </si>
  <si>
    <t>内蒙古</t>
  </si>
  <si>
    <t>辽宁</t>
  </si>
  <si>
    <t>吉林</t>
  </si>
  <si>
    <t>黑龙江</t>
  </si>
  <si>
    <t>上海</t>
  </si>
  <si>
    <t>江苏</t>
  </si>
  <si>
    <t>浙江</t>
  </si>
  <si>
    <t>安徽</t>
  </si>
  <si>
    <t>福建</t>
  </si>
  <si>
    <t>江西</t>
  </si>
  <si>
    <t>山东</t>
  </si>
  <si>
    <t>河南</t>
  </si>
  <si>
    <t>湖北</t>
  </si>
  <si>
    <t>湖南</t>
  </si>
  <si>
    <t>广东</t>
  </si>
  <si>
    <t>广西</t>
  </si>
  <si>
    <t>海南</t>
  </si>
  <si>
    <t>重庆</t>
  </si>
  <si>
    <t>四川</t>
  </si>
  <si>
    <t>贵州</t>
  </si>
  <si>
    <t>云南</t>
  </si>
  <si>
    <t>陕西</t>
  </si>
  <si>
    <t>甘肃</t>
  </si>
  <si>
    <t>青海</t>
  </si>
  <si>
    <t>宁夏</t>
  </si>
  <si>
    <t>新疆</t>
  </si>
  <si>
    <t>中国香港-中电</t>
  </si>
  <si>
    <t>2023年电力排放因子</t>
  </si>
  <si>
    <t>中国香港-港灯</t>
  </si>
  <si>
    <t>中国澳门</t>
  </si>
  <si>
    <t>中国台湾</t>
  </si>
  <si>
    <t>全国平均(不包括市场化交易的非化石能源电量)</t>
  </si>
  <si>
    <t>适用于基于市场方法下核算</t>
  </si>
  <si>
    <t>全国平均（化石能源电力）</t>
  </si>
  <si>
    <t>外购其他能源</t>
  </si>
  <si>
    <t>热力</t>
  </si>
  <si>
    <t>全国平均-不区分机组</t>
  </si>
  <si>
    <t>GJ</t>
  </si>
  <si>
    <t>不包括香港、澳门、台湾，下同</t>
  </si>
  <si>
    <t>全国平均-燃煤热电联产</t>
  </si>
  <si>
    <t>全国碳排放权交易市场发电行业配额方案供热基准值;燃煤热电联产对外供热</t>
  </si>
  <si>
    <t>全国平均-燃气热电联产</t>
  </si>
  <si>
    <t>全国-燃煤锅炉</t>
  </si>
  <si>
    <t>全国-燃气锅炉</t>
  </si>
  <si>
    <t>北京-集中供热</t>
  </si>
  <si>
    <t>排放因子来源单一文献</t>
  </si>
  <si>
    <t>天津-集中供热</t>
  </si>
  <si>
    <t>河北-集中供热</t>
  </si>
  <si>
    <t>山西-集中供热</t>
  </si>
  <si>
    <t>内蒙古-集中供热</t>
  </si>
  <si>
    <t>辽宁-集中供热</t>
  </si>
  <si>
    <t>吉林-集中供热</t>
  </si>
  <si>
    <t>黑龙江-集中供热</t>
  </si>
  <si>
    <t>山东-集中供热</t>
  </si>
  <si>
    <t>河南-集中供热</t>
  </si>
  <si>
    <t>陕西-集中供热</t>
  </si>
  <si>
    <t>甘肃-集中供热</t>
  </si>
  <si>
    <t>宁夏-集中供热</t>
  </si>
  <si>
    <t>新疆-集中供热</t>
  </si>
  <si>
    <t>新疆兵团-集中供热</t>
  </si>
  <si>
    <t>范围三排放因子数据集</t>
  </si>
  <si>
    <t>外购商品和服务、资本商品、燃料和能源相关活动、上游运输及配送、运营中产生的废弃物、商务差旅、员工通勤、下游运输及配送</t>
  </si>
  <si>
    <t>CO2e</t>
  </si>
  <si>
    <t>排放源排放特征</t>
  </si>
  <si>
    <t>外购商品和服务</t>
  </si>
  <si>
    <t>金属</t>
  </si>
  <si>
    <t>钢铁产品的总称（含合金），区别于建筑用钢材</t>
  </si>
  <si>
    <t>铝及铝合金</t>
  </si>
  <si>
    <t>未进一步加工的铝及铝合金材料</t>
  </si>
  <si>
    <t>铝加工材及铝制品</t>
  </si>
  <si>
    <t>经过加工的铝材及铝制品的总称</t>
  </si>
  <si>
    <t>铜及铜加工材</t>
  </si>
  <si>
    <t>阴极铜、铜杆、铜线、铜箔、铜管</t>
  </si>
  <si>
    <t>电池金属化合物</t>
  </si>
  <si>
    <t>化学材料</t>
  </si>
  <si>
    <t>锂盐、镍盐、钴盐、锰盐等用于电池制造的金属化合物</t>
  </si>
  <si>
    <t>硅材料</t>
  </si>
  <si>
    <t>㎡</t>
  </si>
  <si>
    <t>工业硅、多晶硅、有机硅基础材料</t>
  </si>
  <si>
    <t>稀土材料</t>
  </si>
  <si>
    <t>钕铁硼、稀土金属/氧化物、贵金属催化材料</t>
  </si>
  <si>
    <t>氢</t>
  </si>
  <si>
    <t>包括灰氢、蓝氢、绿氢</t>
  </si>
  <si>
    <t>氨</t>
  </si>
  <si>
    <t>包括液氨、氨水等</t>
  </si>
  <si>
    <t>甲醇</t>
  </si>
  <si>
    <t>包括煤制甲醇、天然气制甲醇等</t>
  </si>
  <si>
    <t>基础烯烃</t>
  </si>
  <si>
    <t>乙烯、丙烯</t>
  </si>
  <si>
    <t>氯碱/纯碱</t>
  </si>
  <si>
    <t>烧碱、纯碱、氯气</t>
  </si>
  <si>
    <t>无机酸</t>
  </si>
  <si>
    <t>硫酸、硝酸、盐酸、磷酸</t>
  </si>
  <si>
    <t>化肥</t>
  </si>
  <si>
    <t>尿素、磷肥、钾肥、复合肥、磷铵</t>
  </si>
  <si>
    <t>无机盐</t>
  </si>
  <si>
    <t>电石、碳酸盐、硫酸盐、磷酸盐</t>
  </si>
  <si>
    <t>通用树脂</t>
  </si>
  <si>
    <t>PE、PP、PVC、PET、PS/ABS</t>
  </si>
  <si>
    <t>改性塑料</t>
  </si>
  <si>
    <t>PC、PA、POM、PBT、改性PP</t>
  </si>
  <si>
    <t>橡胶、炭黑</t>
  </si>
  <si>
    <t>合成橡胶、天然橡胶、炭黑、橡胶助剂</t>
  </si>
  <si>
    <t>乘用车轮胎、载重轮胎、工程轮胎</t>
  </si>
  <si>
    <t>涂料/油漆/油墨</t>
  </si>
  <si>
    <t>建筑涂料、工业涂料、油墨</t>
  </si>
  <si>
    <t>胶粘剂/密封材料</t>
  </si>
  <si>
    <t>环氧胶、聚氨酯胶、硅酮胶、热熔胶</t>
  </si>
  <si>
    <t>表面活性剂/洗涤剂原料</t>
  </si>
  <si>
    <t>表活、助剂、洗涤剂中间体</t>
  </si>
  <si>
    <t>溶剂/基础有机化学品</t>
  </si>
  <si>
    <t>苯、甲苯、二甲苯、醋酸、醇酮类</t>
  </si>
  <si>
    <t>润滑油/工业油品</t>
  </si>
  <si>
    <t>润滑油、液压油、切削液</t>
  </si>
  <si>
    <t>化学纤维原料</t>
  </si>
  <si>
    <t>PTA、MEG、己内酰胺、丙烯腈、溶解浆</t>
  </si>
  <si>
    <t>水泥/熟料</t>
  </si>
  <si>
    <t>建筑材料</t>
  </si>
  <si>
    <t>通用硅酸盐水泥、水泥熟料</t>
  </si>
  <si>
    <t>预拌混凝土/砂浆</t>
  </si>
  <si>
    <t>预拌混凝土、预拌砂浆</t>
  </si>
  <si>
    <t>砂石骨料</t>
  </si>
  <si>
    <t>建设用砂、碎石、机制砂</t>
  </si>
  <si>
    <t>石灰/石膏</t>
  </si>
  <si>
    <t>石灰、石膏、脱硫石膏制品</t>
  </si>
  <si>
    <t>平板玻璃/建筑玻璃</t>
  </si>
  <si>
    <t>平板玻璃、中空玻璃、汽车玻璃</t>
  </si>
  <si>
    <t>玻璃纤维/矿物纤维</t>
  </si>
  <si>
    <t>玻璃纤维、岩棉、矿棉</t>
  </si>
  <si>
    <t>陶瓷/卫生陶瓷</t>
  </si>
  <si>
    <t>建筑陶瓷、卫生陶瓷、工业陶瓷</t>
  </si>
  <si>
    <t>沥青/道路材料</t>
  </si>
  <si>
    <t>道路沥青、改性沥青、道路基层材料</t>
  </si>
  <si>
    <t>防水/保温材料</t>
  </si>
  <si>
    <t>防水卷材、EPS、XPS、聚氨酯保温材料</t>
  </si>
  <si>
    <t>木材/工程木/人造板</t>
  </si>
  <si>
    <t>原木、胶合板、刨花板、纤维板、木地板</t>
  </si>
  <si>
    <t>建筑门窗/幕墙材料</t>
  </si>
  <si>
    <t>铝合金门窗、塑钢门窗、幕墙构件</t>
  </si>
  <si>
    <t>混凝土构件</t>
  </si>
  <si>
    <t>PC构件、管片、预制梁板</t>
  </si>
  <si>
    <t>钢结构/金属构件</t>
  </si>
  <si>
    <t>钢构件、金属支架、金属桥架</t>
  </si>
  <si>
    <t>建筑用钢材</t>
  </si>
  <si>
    <t>包括钢筋、线材、型钢、中厚板、钢结构用钢、板带材等，区别于钢铁产品</t>
  </si>
  <si>
    <t>纸浆/原纸/纸板</t>
  </si>
  <si>
    <t>包装材料</t>
  </si>
  <si>
    <t>纸浆、原纸、箱板纸、白卡纸</t>
  </si>
  <si>
    <t>纸包装/纸箱</t>
  </si>
  <si>
    <t>瓦楞纸箱、纸袋、纸盒</t>
  </si>
  <si>
    <t>塑料包装/薄膜/容器</t>
  </si>
  <si>
    <t>个</t>
  </si>
  <si>
    <t>塑料薄膜、塑料瓶、塑料托盘、塑料桶</t>
  </si>
  <si>
    <t>复合软包装/标签/印刷品</t>
  </si>
  <si>
    <t>册</t>
  </si>
  <si>
    <t>复合膜、标签、印刷品</t>
  </si>
  <si>
    <t>金属包装</t>
  </si>
  <si>
    <t>铝罐、钢桶、金属盖</t>
  </si>
  <si>
    <t>玻璃包装</t>
  </si>
  <si>
    <t>玻璃瓶、玻璃罐</t>
  </si>
  <si>
    <t>木包装/托盘</t>
  </si>
  <si>
    <t>木托盘、木箱</t>
  </si>
  <si>
    <t>天然纤维</t>
  </si>
  <si>
    <t>食品、饲料、纺织品</t>
  </si>
  <si>
    <t>棉、羊毛、山羊绒、麻</t>
  </si>
  <si>
    <t>化学纤维/再生纤维</t>
  </si>
  <si>
    <t>涤纶、锦纶、粘胶、氨纶、再生化纤</t>
  </si>
  <si>
    <t>纱线/织物/印染布</t>
  </si>
  <si>
    <t>棉纱、机织物、针织物、印染布</t>
  </si>
  <si>
    <t>服装/鞋材/皮革</t>
  </si>
  <si>
    <t>服装、鞋材、皮革、人造革</t>
  </si>
  <si>
    <t>粮食及初级农产品</t>
  </si>
  <si>
    <t>大米、小麦、玉米、薯类</t>
  </si>
  <si>
    <t>饲料及饲料添加剂</t>
  </si>
  <si>
    <t>饲料、豆粕、玉米、氨基酸、矿物添加剂</t>
  </si>
  <si>
    <t>食品加工原料</t>
  </si>
  <si>
    <t>淀粉、糖、酒精、精制茶、乳制品原料</t>
  </si>
  <si>
    <t>电池材料</t>
  </si>
  <si>
    <t>消费型、小动力型、大动力型、储能型</t>
  </si>
  <si>
    <t>正极、负极、电解液、隔膜、铜箔、铝塑膜</t>
  </si>
  <si>
    <t>光伏硅料/硅片/电池片</t>
  </si>
  <si>
    <t>多晶硅、硅片、电池片</t>
  </si>
  <si>
    <t>光伏组件</t>
  </si>
  <si>
    <t>晶硅组件、薄膜组件</t>
  </si>
  <si>
    <t>逆变器、铝边框、支架</t>
  </si>
  <si>
    <t>风电叶片</t>
  </si>
  <si>
    <t>叶片、树脂、玻纤/碳纤维复合材料</t>
  </si>
  <si>
    <t>风电主机及结构件</t>
  </si>
  <si>
    <t>塔筒、机舱、齿轮箱、发电机</t>
  </si>
  <si>
    <t>半导体芯片/集成电路</t>
  </si>
  <si>
    <t>电子产品</t>
  </si>
  <si>
    <t>片</t>
  </si>
  <si>
    <t>晶圆、芯片、封装件</t>
  </si>
  <si>
    <t>PCB/电子元器件</t>
  </si>
  <si>
    <t>PCB、电容、电阻、连接器、传感器</t>
  </si>
  <si>
    <t>台</t>
  </si>
  <si>
    <t>LCD、OLED、显示模组、显示器</t>
  </si>
  <si>
    <t>通信设备/电线电缆/光缆</t>
  </si>
  <si>
    <t>m</t>
  </si>
  <si>
    <t>电线电缆、通信电缆、光缆、基站设备</t>
  </si>
  <si>
    <t>计算机/服务器/存储设备</t>
  </si>
  <si>
    <t>移动通信手持机</t>
  </si>
  <si>
    <t>手机、平板、手持终端</t>
  </si>
  <si>
    <t>资本商品</t>
  </si>
  <si>
    <t>办公设备</t>
  </si>
  <si>
    <t>办公用品</t>
  </si>
  <si>
    <t>打印机、复印机</t>
  </si>
  <si>
    <t>打印耗材</t>
  </si>
  <si>
    <t>支</t>
  </si>
  <si>
    <t>硒鼓、墨盒</t>
  </si>
  <si>
    <t>房间空调器/制冷空调设备</t>
  </si>
  <si>
    <t>房间空调器、商用空调、制冷设备</t>
  </si>
  <si>
    <t>照明产品</t>
  </si>
  <si>
    <t>LED灯具、光源、照明设备</t>
  </si>
  <si>
    <t>电动机/变压器/配电设备/UPS</t>
  </si>
  <si>
    <t>小功率电机、变压器、配电柜、UPS</t>
  </si>
  <si>
    <t>泵/风机/压缩机/通用设备</t>
  </si>
  <si>
    <t>工业机器人/机床/专用设备</t>
  </si>
  <si>
    <t>内燃机</t>
  </si>
  <si>
    <t>车辆/电动汽车</t>
  </si>
  <si>
    <t>辆</t>
  </si>
  <si>
    <t>乘用车、轻型电动汽车、商用车</t>
  </si>
  <si>
    <t>家具/办公家具/床垫</t>
  </si>
  <si>
    <t>木制家具、金属家具、办公家具、床垫</t>
  </si>
  <si>
    <t>燃料和能源相关活动</t>
  </si>
  <si>
    <t>电力上游</t>
  </si>
  <si>
    <t>T&amp;D损失</t>
  </si>
  <si>
    <t>燃煤</t>
  </si>
  <si>
    <t>WTT-质量口径</t>
  </si>
  <si>
    <t>WTT-热量口径</t>
  </si>
  <si>
    <t>WTT-能量口径</t>
  </si>
  <si>
    <t>MJ</t>
  </si>
  <si>
    <t>WTT-体积口径</t>
  </si>
  <si>
    <t>Nm³</t>
  </si>
  <si>
    <t>国内天然气</t>
  </si>
  <si>
    <t>WTT-气源分项</t>
  </si>
  <si>
    <t>进口管道天然气</t>
  </si>
  <si>
    <t>进口LNG</t>
  </si>
  <si>
    <t>L</t>
  </si>
  <si>
    <t>航空煤油</t>
  </si>
  <si>
    <t xml:space="preserve">精煤产品	</t>
  </si>
  <si>
    <t>上游运输及配送&amp;下游运输及配送</t>
  </si>
  <si>
    <t>公路货物运输-汽油</t>
  </si>
  <si>
    <t>质量区间(0，1.19]</t>
  </si>
  <si>
    <t>tkm</t>
  </si>
  <si>
    <t>公路货物运输-柴油</t>
  </si>
  <si>
    <t>质量区间(1.19，1.8]</t>
  </si>
  <si>
    <t>质量区间(1.8，2.85]</t>
  </si>
  <si>
    <t>微型（总质量≤1.8t且车长≤3.5m；本表推荐区间(0，1.8]t）</t>
  </si>
  <si>
    <t>公路货物运输-电力</t>
  </si>
  <si>
    <t>质量区间(2.85，3.5]</t>
  </si>
  <si>
    <t>质量区间(3.5，4.5]</t>
  </si>
  <si>
    <t>公路货物运输-天然气</t>
  </si>
  <si>
    <t>质量区间(4.5，5.5]</t>
  </si>
  <si>
    <t>轻型（总质量&lt;4.5t或车长&lt;6m；本表推荐区间(1.8，4.5]t）</t>
  </si>
  <si>
    <t>质量区间(4.5，7]</t>
  </si>
  <si>
    <t>质量区间(5.5，7]</t>
  </si>
  <si>
    <t>质量区间(7，8.5]</t>
  </si>
  <si>
    <t>质量区间(7，9]</t>
  </si>
  <si>
    <t>中型（4.5t≤总质量&lt;12t且车长≥6m；本表推荐区间约(4.5，12.5]t）</t>
  </si>
  <si>
    <t>质量区间(8.5，10.5]</t>
  </si>
  <si>
    <t>质量区间(9，12]</t>
  </si>
  <si>
    <t>质量区间(10.5，12.5]</t>
  </si>
  <si>
    <t>重型（最大允许总质量≥12t；本表推荐区间约(12.5，31]t）</t>
  </si>
  <si>
    <t>质量区间(12.5，16]</t>
  </si>
  <si>
    <t>质量区间(12，18]</t>
  </si>
  <si>
    <t>质量区间(16，20]</t>
  </si>
  <si>
    <t>质量区间(18，20]</t>
  </si>
  <si>
    <t>质量区间(20，25]</t>
  </si>
  <si>
    <t>质量区间(25，31]</t>
  </si>
  <si>
    <t>不区分质量区间</t>
  </si>
  <si>
    <t>公路货物运输-纯电动</t>
  </si>
  <si>
    <t>冷链公路货物运输-汽油</t>
  </si>
  <si>
    <t>冷链公路货物运输-柴油</t>
  </si>
  <si>
    <t>冷链公路货物运输-电力</t>
  </si>
  <si>
    <t>冷链公路货物运输-天然气</t>
  </si>
  <si>
    <t>航空运输-航空煤油</t>
  </si>
  <si>
    <t>不区分TOC类型</t>
  </si>
  <si>
    <t>航空货物运输-航空煤油</t>
  </si>
  <si>
    <t>货运飞机-短途&lt;1500km</t>
  </si>
  <si>
    <t>腹舱货物-短途&lt;1500km</t>
  </si>
  <si>
    <t>未知舱位/综合-短途&lt;1500km</t>
  </si>
  <si>
    <t>货运飞机-长途&gt;1500km</t>
  </si>
  <si>
    <t>腹舱货物-长途&gt;1500km</t>
  </si>
  <si>
    <t>未知舱位/综合-长途&gt;1500km</t>
  </si>
  <si>
    <t>铁路运输-电力/柴油加权</t>
  </si>
  <si>
    <t>综合平均</t>
  </si>
  <si>
    <t>内河水运-柴油</t>
  </si>
  <si>
    <t>顶推船队-顶推船+2驳船</t>
  </si>
  <si>
    <t>顶推船队-顶推船+4/5驳船</t>
  </si>
  <si>
    <t>顶推船队-顶推船+6驳船</t>
  </si>
  <si>
    <t>动力船50-80m（650-1000t）</t>
  </si>
  <si>
    <t>动力船85-110m（1000-2000t）</t>
  </si>
  <si>
    <t>集装箱船110m</t>
  </si>
  <si>
    <t>集装箱船135m</t>
  </si>
  <si>
    <t>联运船队（163-185m）</t>
  </si>
  <si>
    <t>动力船&lt;50m（&lt;650t）</t>
  </si>
  <si>
    <t>干散货驳船平均值</t>
  </si>
  <si>
    <t>油轮</t>
  </si>
  <si>
    <t>内河水运-柴油/燃料油/LNG加权</t>
  </si>
  <si>
    <t>动力船135m（2000-3000t）</t>
  </si>
  <si>
    <t>海运集装箱-集装箱船综合燃料</t>
  </si>
  <si>
    <t>亚洲-北欧航线-冷藏</t>
  </si>
  <si>
    <t>亚洲-北欧航线-干货</t>
  </si>
  <si>
    <t>亚洲-北美西海岸-冷藏</t>
  </si>
  <si>
    <t>亚洲-北美西海岸-干货</t>
  </si>
  <si>
    <t>沿海/远洋航运-柴油/燃料油/LNG加权</t>
  </si>
  <si>
    <t>行业平均-冷藏集装箱</t>
  </si>
  <si>
    <t>行业平均-干货集装箱</t>
  </si>
  <si>
    <t>沿海/远洋航运-重质燃料油（船用重油）</t>
  </si>
  <si>
    <t>化学品船0-4999 dwt</t>
  </si>
  <si>
    <t>普货船0-4999 dwt</t>
  </si>
  <si>
    <t>油轮0-4999 dwt</t>
  </si>
  <si>
    <t>散货船0-9999 dwt</t>
  </si>
  <si>
    <t>化学品船5000-9999 dwt</t>
  </si>
  <si>
    <t>普货船5000-9999 dwt</t>
  </si>
  <si>
    <t>化学品船10000-19999 dwt</t>
  </si>
  <si>
    <t>普货船10000-19999 dwt</t>
  </si>
  <si>
    <t>滚装船15000+dwt</t>
  </si>
  <si>
    <t>普货船20000+dwt</t>
  </si>
  <si>
    <t>散货船10000-34999 dwt</t>
  </si>
  <si>
    <t>油轮20000-59999 dwt</t>
  </si>
  <si>
    <t>化学品船40000+dwt</t>
  </si>
  <si>
    <t>散货船35000-59999 dwt</t>
  </si>
  <si>
    <t>运车船50000+GT</t>
  </si>
  <si>
    <t>散货船60000-99999 dwt</t>
  </si>
  <si>
    <t>油轮80000-119999 dwt</t>
  </si>
  <si>
    <t>散货船100000-199999 dwt</t>
  </si>
  <si>
    <t>散货船200000+dwt</t>
  </si>
  <si>
    <t>油轮200000+dwt</t>
  </si>
  <si>
    <t>运营中产生的废弃物</t>
  </si>
  <si>
    <t>废水</t>
  </si>
  <si>
    <t>市政污水处理/排入市政管网</t>
  </si>
  <si>
    <t>m3</t>
  </si>
  <si>
    <t>生活垃圾</t>
  </si>
  <si>
    <t>卫生填埋</t>
  </si>
  <si>
    <t>焚烧（不含发电过程）</t>
  </si>
  <si>
    <t>生活垃圾/厨余垃圾</t>
  </si>
  <si>
    <t>生物处理-堆肥</t>
  </si>
  <si>
    <t>厨余垃圾</t>
  </si>
  <si>
    <t>混合焚烧（不含发电过程）</t>
  </si>
  <si>
    <t>厌氧消化（不含能源产品利用）</t>
  </si>
  <si>
    <t>好氧堆肥</t>
  </si>
  <si>
    <t>厨余垃圾/农林废弃物混合</t>
  </si>
  <si>
    <t>危险废物</t>
  </si>
  <si>
    <t>D10 焚烧</t>
  </si>
  <si>
    <t>D1 填埋</t>
  </si>
  <si>
    <t>废塑料（PE）</t>
  </si>
  <si>
    <t>废塑料（PP）</t>
  </si>
  <si>
    <t>可降解塑料（PBAT-LA）</t>
  </si>
  <si>
    <t>可降解塑料（PLA）</t>
  </si>
  <si>
    <t>商务差旅&amp;员工通勤</t>
  </si>
  <si>
    <t>长途客运/城际大巴</t>
  </si>
  <si>
    <t>不区分燃料</t>
  </si>
  <si>
    <t>pkm</t>
  </si>
  <si>
    <t>公交</t>
  </si>
  <si>
    <t>出租车/网约车</t>
  </si>
  <si>
    <t>小客车/小汽车</t>
  </si>
  <si>
    <t>电动自行车</t>
  </si>
  <si>
    <t>摩托车</t>
  </si>
  <si>
    <t>共享单车</t>
  </si>
  <si>
    <t>城市轨道交通</t>
  </si>
  <si>
    <t>铁路综合客运</t>
  </si>
  <si>
    <t>普通铁路/综合列车</t>
  </si>
  <si>
    <t>高速铁路</t>
  </si>
  <si>
    <t>国内航班</t>
  </si>
  <si>
    <t>国内客运飞机</t>
  </si>
  <si>
    <t>短途航班</t>
  </si>
  <si>
    <t>中小型客运飞机</t>
  </si>
  <si>
    <t>长途航班</t>
  </si>
  <si>
    <t>大型/超大型客运飞机</t>
  </si>
  <si>
    <t>国际航班</t>
  </si>
  <si>
    <t>轮渡</t>
  </si>
  <si>
    <t>轮渡/客运船舶</t>
  </si>
  <si>
    <t>酒店住宿</t>
  </si>
  <si>
    <t>中国大陆</t>
  </si>
  <si>
    <t>kgCO2e/晚</t>
  </si>
  <si>
    <t>中国香港</t>
  </si>
  <si>
    <t>常见问题与解答</t>
  </si>
  <si>
    <t>范围一常见问题与解答</t>
  </si>
  <si>
    <r>
      <rPr>
        <b/>
        <sz val="12"/>
        <rFont val="仿宋"/>
        <family val="3"/>
        <charset val="134"/>
      </rPr>
      <t>Q1. 液体燃料为什么有按吨和按m</t>
    </r>
    <r>
      <rPr>
        <b/>
        <sz val="12"/>
        <rFont val="宋体"/>
        <family val="3"/>
        <charset val="134"/>
      </rPr>
      <t>³</t>
    </r>
    <r>
      <rPr>
        <b/>
        <sz val="12"/>
        <rFont val="仿宋"/>
        <family val="3"/>
        <charset val="134"/>
      </rPr>
      <t>两行？</t>
    </r>
  </si>
  <si>
    <r>
      <rPr>
        <sz val="12"/>
        <rFont val="仿宋"/>
        <family val="3"/>
        <charset val="134"/>
      </rPr>
      <t>便于不同计量方式的企业直接取用:按质量计量用t口径,按体积计量用m</t>
    </r>
    <r>
      <rPr>
        <sz val="12"/>
        <rFont val="宋体"/>
        <family val="3"/>
        <charset val="134"/>
      </rPr>
      <t>³</t>
    </r>
    <r>
      <rPr>
        <sz val="12"/>
        <rFont val="仿宋"/>
        <family val="3"/>
        <charset val="134"/>
      </rPr>
      <t>口径(由燃料密度折算),两者对应同一CO</t>
    </r>
    <r>
      <rPr>
        <sz val="12"/>
        <rFont val="Times New Roman"/>
        <family val="1"/>
      </rPr>
      <t>₂</t>
    </r>
    <r>
      <rPr>
        <sz val="12"/>
        <rFont val="仿宋"/>
        <family val="3"/>
        <charset val="134"/>
      </rPr>
      <t>因子。建议对所有能源来源采用一致的热值口径。</t>
    </r>
  </si>
  <si>
    <t>Q2. 燃料因子是否包含非CO2排放（水蒸气、凝结尾迹、NOx等）的间接影响或辐射强迫？</t>
  </si>
  <si>
    <t>航空燃料因子目前仅核算CO2、CH4和N2O排放的直接影响。如果组织在报告航空差旅排放时考虑非CO2排放的间接影响，以反映差旅的完整气候影响。参考英国UK Government GHG Conversion Factors for Company Reporting建议仅对航空直接排放中的CO2组成部分应用1.7倍乘数，然后与CH4和N2O直接排放相加，计算总kgCO2e（含直接和间接影响）。辐射强迫影响对其他运输方式使用的燃料通常不显著。</t>
  </si>
  <si>
    <t>Q3. 碳酸盐因子可以直接用吗？</t>
  </si>
  <si>
    <t>表中为纯碳酸盐理论因子(按化学计量比)。实际核算应乘以碳酸盐纯度(质量分数)与煅烧率/转化率;多种碳酸盐混合时分别计算后求和。</t>
  </si>
  <si>
    <t>Q4. 化工过程装了尾气处理装置怎么算？</t>
  </si>
  <si>
    <t>硝酸/己二酸生产若安装N₂O催化分解或热分解装置,实际排放=理论排放×(1−去除效率);去除效率以经核查的实测数据为准。</t>
  </si>
  <si>
    <t>Q5. 是否需要在范围一中报告所有制冷剂类型和具有全球变暖潜势的气体？</t>
  </si>
  <si>
    <t>不需要。只有京都议定书规定的7种温室气体气体需要纳入范围一报告，其他温室气体（例如蒙特利尔议定书管控的气体）应单独报告。</t>
  </si>
  <si>
    <t>Q6. 冷媒和灭火器逸散排放量怎么算？</t>
  </si>
  <si>
    <r>
      <rPr>
        <sz val="12"/>
        <rFont val="仿宋"/>
        <family val="3"/>
        <charset val="134"/>
      </rPr>
      <t>制冷剂/ODS逸散排放量(tCO</t>
    </r>
    <r>
      <rPr>
        <sz val="12"/>
        <rFont val="Times New Roman"/>
        <family val="1"/>
      </rPr>
      <t>₂</t>
    </r>
    <r>
      <rPr>
        <sz val="12"/>
        <rFont val="仿宋"/>
        <family val="3"/>
        <charset val="134"/>
      </rPr>
      <t>e)=Σ[各制冷剂逸散量(kg)×对应GWP]÷1000。逸散量的获取有三种方法,优先级:物料平衡法 &gt; 排放因子法(基于逸散系数)</t>
    </r>
  </si>
  <si>
    <r>
      <rPr>
        <sz val="12"/>
        <rFont val="仿宋"/>
        <family val="3"/>
        <charset val="134"/>
      </rPr>
      <t>① 物料平衡法(最准确,有台账时首选):某制冷剂年逸散量(kg)=年初库存量+本年购入量</t>
    </r>
    <r>
      <rPr>
        <sz val="12"/>
        <rFont val="宋体"/>
        <family val="3"/>
        <charset val="134"/>
      </rPr>
      <t>−</t>
    </r>
    <r>
      <rPr>
        <sz val="12"/>
        <rFont val="仿宋"/>
        <family val="3"/>
        <charset val="134"/>
      </rPr>
      <t>年末库存量</t>
    </r>
    <r>
      <rPr>
        <sz val="12"/>
        <rFont val="宋体"/>
        <family val="3"/>
        <charset val="134"/>
      </rPr>
      <t>−</t>
    </r>
    <r>
      <rPr>
        <sz val="12"/>
        <rFont val="仿宋"/>
        <family val="3"/>
        <charset val="134"/>
      </rPr>
      <t>本年回收/报废处置量</t>
    </r>
    <r>
      <rPr>
        <sz val="12"/>
        <rFont val="宋体"/>
        <family val="3"/>
        <charset val="134"/>
      </rPr>
      <t>−</t>
    </r>
    <r>
      <rPr>
        <sz val="12"/>
        <rFont val="仿宋"/>
        <family val="3"/>
        <charset val="134"/>
      </rPr>
      <t>设备中存量变化。适用于有完整制冷剂采购、加注、回收台账的企业。</t>
    </r>
  </si>
  <si>
    <t>② 排放因子法(无台账时常用):某设备某制冷剂年逸散量(kg)=设备制冷剂充注量(kg)×该设备类型年逸散系数(%/年)。逸散系数参考IPCC 2006国家温室气体清单指南(第3卷第7章),按设备类型/生命周期阶段取值。新装、运行、维修、报废各阶段可分别计算后求和。</t>
  </si>
  <si>
    <t>表中的气体与其他排放因子表略有不同。在本表中，排放的气体本身具有全球变暖影响，因子用于将该气体的全球变暖潜势（GWP）折算为千克二氧化碳当量（kg CO2e）。这与多数燃料/材料等在燃烧或使用之后产生排放的因子略有不同，但在报告用途上仍可按通常方式使用。</t>
  </si>
  <si>
    <t>生物燃料</t>
  </si>
  <si>
    <t>Q7. 如何报告生物燃料的排放量？</t>
  </si>
  <si>
    <t>生物燃料在范围一排放中，CO2排放值为“0”，以反映快速生长生物能源来源在生长过程中吸收的CO2。只需要考虑甲烷与氧化亚氮排放即可。</t>
  </si>
  <si>
    <t>参考GHG Protocol标准要求，组织可以单独报告来自生物源的CO2排放，不纳入组织排放总量，而是在排放报告中单独展示，以确保组织对其活动可能产生的所有CO2来源保持透明。排放的计算方式与范围一其他排放相同。</t>
  </si>
  <si>
    <t>范围二常见问题与解答</t>
  </si>
  <si>
    <t>外购电力和热力</t>
  </si>
  <si>
    <t>Q8. 如何报告生物燃料的排放量？</t>
  </si>
  <si>
    <t>建议组织同时核算其购买电力的输配电（T&amp;D）损耗，即电力从发电厂输送至其场所过程中发生的损耗。应使用电力“输配电”因子进行核算。T&amp;D排放应计入范围三燃料和能源相关活动目录下。</t>
  </si>
  <si>
    <t>Q9. 如何报告生物燃料的排放量？</t>
  </si>
  <si>
    <t>若电力由现场光伏等可再生来源产生，电力燃料来源排放为0，T&amp;D值排放也为0。</t>
  </si>
  <si>
    <t>Q10. 碳市场供热基准值怎么用？</t>
  </si>
  <si>
    <t>当外购热力来自全国碳市场纳管发电机组时,可按热源类型(燃煤/燃气热电联产)选用表2对应基准值;该值为配额分配口径,会随年度方案微调,使用时建议核对当年度《发电行业配额总量和分配方案》附件公布的最新基准值。</t>
  </si>
  <si>
    <t>范围三常见问题与解答</t>
  </si>
  <si>
    <t>Q11. 电力种“外购电力上游”和“输配电损耗”有什么区别？</t>
  </si>
  <si>
    <t>外购电力上游排放通常指发电燃料开采、加工、运输等上游活动；输配电损耗排放是电力从电厂输送到用户过程中损失电量所对应的发电及上游排放。两者都可能属于范围三类别3，但要避免与范围二购电排放重复。</t>
  </si>
  <si>
    <t>Q12. 什么是WTT、TTW、WTW？</t>
  </si>
  <si>
    <t>WTT是Well-to-Tank，即井口到油箱，通常对应燃料上游排放；TTW是Tank-to-Wheel，即油箱到车轮，通常对应终端燃烧排放；WTW是Well-to-Wheel，即WTT + TTW。范围三类别3通常使用WTT，而不是完整WTW。</t>
  </si>
  <si>
    <t>Q13. 如果企业采购的是绿电，还需要计算电力上游排放吗？</t>
  </si>
  <si>
    <t>基于GHG Protocol标准要求，本类别只量化化石能源相关排放。</t>
  </si>
  <si>
    <t>Q14. 重型、中型、轻型、微型货车怎么判断？</t>
  </si>
  <si>
    <t>按源文献附录，重型为最大允许总质量≥12t；中型为4.5t≤总质量&lt;12t且车长≥6m；轻型为总质量&lt;4.5t或车长&lt;6m；微型为总质量≤1.8t且车长≤3.5m。本表按推荐表的具体质量区间展开。</t>
  </si>
  <si>
    <t>Q15. 只有运输吨公里和能源类型，没有车辆大小怎么办？</t>
  </si>
  <si>
    <t>可优先使用“不区分质量区间/只知道能源类型”的公路货运因子。例如100,000 tkm柴油公路货运可选柴油货车能源类型均值WTW因子0.2276 kgCO2e/tkm，排放量为22,760 kgCO2e。</t>
  </si>
  <si>
    <t>Q16. TEU和TEU-km是吨吗？</t>
  </si>
  <si>
    <t>答案：TEU是Twenty-foot Equivalent Unit，即20英尺标准集装箱当量，不是吨。TEU-km表示一个标准箱运输一公里；如需换算为吨公里，需要假设每个TEU的货物重量。</t>
  </si>
  <si>
    <t>Q17. “含15% DAF”是什么意思？</t>
  </si>
  <si>
    <t>问题：“含15% DAF”是什么意思？</t>
  </si>
  <si>
    <t>答案：DAF是Distance Adjustment Factor，距离调整因子。“含15% DAF”表示因子已加入15%的距离校正，用于反映实际航行距离通常长于最短可行距离。</t>
  </si>
  <si>
    <t>Q18. dwt是什么意思？</t>
  </si>
  <si>
    <t>问题：dwt是什么意思？</t>
  </si>
  <si>
    <t>答案：dwt是deadweight tonnage，即船舶载重吨，表示船舶可承载货物、燃料、淡水、物料和人员等全部载荷的重量能力，不等同于单次实际装载货物吨数。</t>
  </si>
  <si>
    <t>Q19. HFO是什么意思？</t>
  </si>
  <si>
    <t>问题：HFO是什么意思？</t>
  </si>
  <si>
    <t>答案：HFO是Heavy Fuel Oil，即重质燃料油/船用重油，是远洋和大型船舶常见燃料类型之一。表中能源类型为HFO的海运因子，表示以重油燃料为基础的船舶运输排放强度。</t>
  </si>
  <si>
    <t>Q20. 这些因子适用于范围三的哪些类别？</t>
  </si>
  <si>
    <t>通常用于范围三类别4“上游运输和配送”和类别9“下游运输和配送”。《温室气体核算体系》中按照付费原则对于对于上游、下游运输有明确定义。但是实际场景中，不同企业的物流战略大相径庭，建议企业结合自身战略和实际情况寻找合适自己的分类方式</t>
  </si>
  <si>
    <t>Q21. WTT、TTW和WTW分别是什么意思？</t>
  </si>
  <si>
    <t>WTT指能源从开采、生产到加注/充电前的上游排放；TTW指车辆、船舶、飞机等运行或燃料燃烧阶段排放；WTW为全生命周期口径，通常等于WTT+TTW。</t>
  </si>
  <si>
    <t>Q22. 冷链运输能直接用普通货车因子吗？</t>
  </si>
  <si>
    <t>不建议。若活动属于冷链公路货运，应使用冷链对应因子。例如重型柴油冷链公路货运WTW因子为0.1015 kgCO2e/tkm，而不是普通重型柴油货车因子。</t>
  </si>
  <si>
    <t>Q23. 非公路运输只有TTW因子时，能不能当作WTW？</t>
  </si>
  <si>
    <t>不建议直接等同。非公路原始资料推荐因子多为TTW口径；如报告需要WTW口径，应另行补充燃料或电力上游排放，或选用表中已注明WTW的因子。</t>
  </si>
  <si>
    <t>Q24. 如何计算废弃物重量？</t>
  </si>
  <si>
    <t>可采用多种方法确定组织产生的废弃物量。危险废弃物可以基于收运方提供的危废物转移联单，因为其中可能包含已收集废弃物的具体信息。对于一般固废，可以使用收运方提供的单据；对于生活垃圾也可开展废弃物审计，即由员工定期抽样分析废弃物组成，并称量产生的废弃物和/或回收物。</t>
  </si>
  <si>
    <t>Q25. 这些因子能否用于判断填埋、焚烧或其他处置方式哪个更低碳？</t>
  </si>
  <si>
    <t>不建议直接用于完整生命周期方案比较。本文因子仅覆盖文献定义的处置阶段排放，未纳入收集运输、设施建设、能源回收替代效益等边界外影响。</t>
  </si>
  <si>
    <t>Q26. 我们的组织只有支出数据，如何用于计算差旅排放？</t>
  </si>
  <si>
    <t>目前没有经确认的行业基准可为差旅提供准确的CO2e/人民币支出数据。建议组织改进数据收集流程，以便按距离报告（已有CO2e/km数值）。或者，组织可在多年中收集自身数据并形成自有基准。</t>
  </si>
  <si>
    <t>Q27. 为什么单位为pkm？</t>
  </si>
  <si>
    <t>回答：员工通勤和差旅通常按乘客出行距离核算。为避免车辆公里与人公里混用，本表仅保留或补充可按pkm使用的因子。</t>
  </si>
  <si>
    <t>参考文献</t>
  </si>
  <si>
    <t>[1] 生态环境部.国家温室气体排放因子数据库（第二版）[DB/OL].2026.</t>
  </si>
  <si>
    <t>[2] IPCC.IPCC Emission Factor Database (EFDB)[DB/OL].</t>
  </si>
  <si>
    <t>[3] 中国产品全生命周期温室气体排放系数库.CPCD:China Products Carbon Footprint Factors Database[DB/OL].</t>
  </si>
  <si>
    <t>[4] Department for Energy Security and Net Zero.UK Government GHG Conversion Factors for Company Reporting[DB/OL].London:UK Government,2026.</t>
  </si>
  <si>
    <t>[5] Jing L,El-Houjeiri H M,Monfort J C,et al.Carbon intensity of global crude oil refining and mitigation potential[J].Nature Climate Change,2020,10(6):526-532.</t>
  </si>
  <si>
    <t>[6] Gan Y,El-Houjeiri H M,Badahdah A,et al.Carbon footprint of global natural gas supplies to China[J].Nature Communications,2020,11:824.</t>
  </si>
  <si>
    <t>[7] Kholod N,Evans M,Pilcher R C,et al.Global methane emissions from coal mining to continue growing even with declining coal production[J].Journal of Cleaner Production,2020,256:120489.</t>
  </si>
  <si>
    <t>[8] 吴明,姜国强,贾冯睿,等.基于物质流和生命周期分析的石油行业碳排放[J].资源科学,2018,40(6):1287-1296.</t>
  </si>
  <si>
    <t>[9] 李娜,聂红,于博,等.催化剂制备过程及使用寿命对喷气燃料生产工艺碳排放的影响[J].石油炼制与化工,2023,54(9):105-113.</t>
  </si>
  <si>
    <t>[10] 郑玉蓉,孙文彬,杜守航,等.煤炭企业碳排放核算方法研究综述[J].煤炭学报,2024,49(S2):1143-1153.</t>
  </si>
  <si>
    <t>[11] 王陶,张志智,孙潇磊.炼化企业汽油及柴油生产阶段碳排放分析[J].现代化工,2020,40(S1):234-237,241.</t>
  </si>
  <si>
    <t>[12] 崔亚蕾,孙仁金,赵亚南,等.煤制天然气全生命周期碳排放核算研究[J].资源与产业,2018,20(6):52-60.</t>
  </si>
  <si>
    <t>[13] Wang Y,Du Y,Wang J,et al.Comparative life cycle assessment of geothermal power generation systems in China[J].Resources, Conservation and Recycling,2020,155:104670.</t>
  </si>
  <si>
    <t>[14] 张罗庚,简建超.航煤产品碳足迹评价技术研究与应用[J].石油石化绿色低碳,2021,6(2):65-69,74.</t>
  </si>
  <si>
    <t>[15] 曾繁伟,刘静静.煤炭产品的碳足迹计算方案研究[J].煤炭工程,2017,49(12):169-172.</t>
  </si>
  <si>
    <t>[16] 朱远超,赵子旼,张劲松.厨余垃圾和农林废弃物好氧堆肥协同处理碳排放核算:以某镇处理设施为例[J].环境卫生工程,2024,32(1):111-115.</t>
  </si>
  <si>
    <t>[17] 周家珍.上海市某危险废物焚烧厂碳排放核算研究[J].建筑节能,2025(2):31-34.</t>
  </si>
  <si>
    <t>[18] 李欢,周颖君,刘建国,等.我国厨余垃圾处理模式的综合比较和优化策略[J].环境工程学报,2021,15(7):2398-2408.</t>
  </si>
  <si>
    <t>[19] Hong J,Han X,Chen Y,et al.Life cycle environmental assessment of industrial hazardous waste incineration and landfilling in China[J].The International Journal of Life Cycle Assessment,2017,22(7):1054-1064.</t>
  </si>
  <si>
    <t>[20] Chen G,Li J,Sun Y,et al.Replacing traditional plastics with biodegradable plastics:impact on carbon emissions[J].Engineering,2024,32:152-162.</t>
  </si>
  <si>
    <t>[21] Cai B,Liang S,Zhou J,et al.China high resolution emission database (CHRED) with point emission sources,gridded emission data,and supplementary socioeconomic data[J].Resources, Conservation and Recycling,2018,129:232-239.</t>
  </si>
  <si>
    <t>[22] 吕晨,刘浩,徐少东,等.基于飞行阶段的精细化航空二氧化碳排放因子研究[J].气候变化研究进展,2022,18(2):196-204.</t>
  </si>
  <si>
    <t>[23] Lyu C,Liu X,Wang Z,et al.An emissions inventory using flight information reveals the long-term changes of aviation CO2 emissions in China[J].Energy,2023,262:125513.</t>
  </si>
  <si>
    <t>[24] 田佩宁,毛保华,童瑞咏,等.我国交通运输行业及不同运输方式的碳排放水平和强度分析[J].气候变化研究进展,2023,19(3):347-356.</t>
  </si>
  <si>
    <t>[25] 田佩宁,张皓翔,毛保华,等.城市客运交通方式碳排放强度比较[J].中国环境科学,2024,44(5):2823-2832.</t>
  </si>
  <si>
    <t>[26] 吴雪妍,毛保华,周琪,等.交通运输业不同方式碳排放因子水平比较研究[J].华东交通大学学报,2022,39(4):41-47.</t>
  </si>
  <si>
    <t>[27] Harrison T J,Midgley W J B,Goodall R M,et al.Development and control of a rail vehicle model to reduce energy consumption and carbon dioxide emissions[J].Proceedings of the Institution of Mechanical Engineers,Part F:Journal of Rail and Rapid Transit,2021,235(10):1237-1248.</t>
  </si>
  <si>
    <t>[28] 国家统计局能源统计司.中国能源统计年鉴2024[M].北京:中国统计出版社,2024.</t>
  </si>
  <si>
    <t>[29] IPCC.Climate Change 2013:The Physical Science Basis[M].Cambridge:Cambridge University Press,2013.</t>
  </si>
  <si>
    <t>[30] 国家市场监督管理总局,国家标准化管理委员会.GB/T 32150-2025 工业企业温室气体排放核算和报告通则[S].北京:中国标准出版社,2025.</t>
  </si>
  <si>
    <t>[31] 国家市场监督管理总局,国家标准化管理委员会.GB 30510-2024 重型商用车辆燃料消耗量限值[S].北京:中国标准出版社,2024.</t>
  </si>
  <si>
    <t>[32] 国家市场监督管理总局,国家标准化管理委员会.GB 20997-2024 轻型商用车辆燃料消耗量限值及评价指标[S].北京:中国标准出版社,2024.</t>
  </si>
  <si>
    <t>[33] 国家市场监督管理总局,国家标准化管理委员会.GB/T 24067-2024 温室气体 产品碳足迹 量化要求和指南[S].北京:中国标准出版社,2024.</t>
  </si>
  <si>
    <t>[34] 国家市场监督管理总局,国家标准化管理委员会.GB/T 44903-2024 温室气体 产品碳足迹量化方法与要求 畜产品[S].北京:中国标准出版社,2024.</t>
  </si>
  <si>
    <t>[35] 国家市场监督管理总局,国家标准化管理委员会.GB/T 45441-2025 温室气体 产品碳足迹量化方法与要求 塑料制品[S].北京:中国标准出版社,2025.</t>
  </si>
  <si>
    <t>[36] 国家市场监督管理总局,国家标准化管理委员会.GB/T 45540-2025 温室气体 产品碳足迹量化方法与要求 化学纤维[S].北京:中国标准出版社,2025.</t>
  </si>
  <si>
    <t>[37] 国家市场监督管理总局,国家标准化管理委员会.GB/T 45646-2025 温室气体 产品碳足迹量化方法和要求 内燃机[S].北京:中国标准出版社,2025.</t>
  </si>
  <si>
    <t>[38] 国家市场监督管理总局,国家标准化管理委员会.GB/T 45818-2025 温室气体 产品碳足迹量化方法与要求 照明产品[S].北京:中国标准出版社,2025.</t>
  </si>
  <si>
    <t>[39] 国家市场监督管理总局,国家标准化管理委员会.GB/T 46027-2025 温室气体 产品碳足迹量化方法与要求 房间空调器[S].北京:中国标准出版社,2025.</t>
  </si>
  <si>
    <t>[40] 国家市场监督管理总局,国家标准化管理委员会.GB/T 46041-2025 温室气体 产品碳足迹量化方法与要求 电子电器[S].北京:中国标准出版社,2025.</t>
  </si>
  <si>
    <t>[41] 国家市场监督管理总局,国家标准化管理委员会.GB/T 46486-2025 温室气体 产品碳足迹量化方法与要求 家具[S].北京:中国标准出版社,2025.</t>
  </si>
  <si>
    <t>[42] 国家市场监督管理总局,国家标准化管理委员会.GB/T 47064-2026 温室气体 产品碳足迹量化方法与要求 钢铁产品[S].北京:中国标准出版社,2026.</t>
  </si>
  <si>
    <t>[43] 国家市场监督管理总局,国家标准化管理委员会.GB/T 47102-2026 温室气体 产品碳足迹量化方法与要求 稀土永磁材料[S].北京:中国标准出版社,2026.</t>
  </si>
  <si>
    <t>[44] 国家市场监督管理总局,国家标准化管理委员会.GB/T 44905-2024 温室气体 产品碳足迹量化方法与要求 电解铝[S].北京:中国标准出版社,2024.</t>
  </si>
  <si>
    <t>[45] 国家市场监督管理总局,国家标准化管理委员会.GB/T 47636-2026 温室气体 产品碳足迹量化方法与要求 光伏玻璃[S].北京:中国标准出版社,2026.</t>
  </si>
  <si>
    <t>[46] 国家市场监督管理总局,国家标准化管理委员会.GB/T 47635-2026 温室气体 产品碳足迹量化方法与要求 水泥[S].北京:中国标准出版社,2026.</t>
  </si>
  <si>
    <t>[47] 国家市场监督管理总局,国家标准化管理委员会.GB/T 47616-2026 温室气体 产品碳足迹量化方法与要求 石材[S].北京:中国标准出版社,2026.</t>
  </si>
  <si>
    <t>[48] 国家市场监督管理总局,国家标准化管理委员会.GB/T 47612-2026 温室气体 产品碳足迹量化方法与要求 石灰[S].北京:中国标准出版社,2026.</t>
  </si>
  <si>
    <t>[49] 生态环境部,国家统计局.关于发布2023年电力二氧化碳排放因子的公告:公告2025年第47号[A/OL].2025-12-31.</t>
  </si>
  <si>
    <t>[50] 北京市生态环境局.北京普惠型自愿碳减排项目要求[A/OL].2023-04-19.</t>
  </si>
  <si>
    <t>[51] 生态环境部.2023、2024年度全国碳排放权交易发电行业配额总量和分配方案[R/OL].2024.</t>
  </si>
  <si>
    <t>[52] Department for Environment,Food &amp; Rural Affairs,Department for Energy Security and Net Zero.Greenhouse gas reporting:conversion factors 2025[R/OL].London:UK Government,2025.</t>
  </si>
  <si>
    <t>[53] 国家铁路局.2024年铁道统计公报[R/OL].北京:国家铁路局,2025.</t>
  </si>
  <si>
    <t>[54] 曹原,杜一凡.GHG S3.3 中国电力上游排放因子（2025）[R].零碳实验室,2025.</t>
  </si>
  <si>
    <t>[55] 曹原,张小豪.GHG S3.3 中国电力输送和分配（T&amp;D）损失排放因子（2025）[R].零碳实验室,2025.</t>
  </si>
  <si>
    <t>[56] 曹原,杜一凡.GHG S3.3 中国燃煤上游排放因子（2025）[R].零碳实验室,2025.</t>
  </si>
  <si>
    <t>[57] 曹原,冯恒丽,张小豪,等.GHG S3.3 中国天然气上游排放因子（2025）[R].零碳实验室,2025.</t>
  </si>
  <si>
    <t>[58] 曹原,张小豪,杜一凡.GHG S3.3 中国汽油和柴油上游排放因子（2025）[R].零碳实验室,2025.</t>
  </si>
  <si>
    <t>[59] Prussi M,Yugo M,De Prada L,et al.JEC Well-To-Wheels report v5[R].Luxembourg:Publications Office of the European Union,2020.</t>
  </si>
  <si>
    <t>[60] 生态环境部办公厅.省级温室气体清单编制指南（2025年版）[R].北京:生态环境部,2025.</t>
  </si>
  <si>
    <t>[61] IPCC.2006 IPCC Guidelines for National Greenhouse Gas Inventories[R].Hayama:Institute for Global Environmental Strategies,2006.</t>
  </si>
  <si>
    <t>[62] 曹原,杜一凡,丁黎宇,等.GHG S2 中国公共建筑与工业用户供热排放因子（2025）[R].零碳实验室,2025.</t>
  </si>
  <si>
    <t>[63] Smart Freight Centre.GLEC Framework for Logistics Emissions Accounting and Reporting,version 3.2[R].Amsterdam:Smart Freight Centre,2025.</t>
  </si>
  <si>
    <t>[64] 曹原,张小豪,丁黎宇,等.GHG S3.4&amp;3.9 中国公路运输排放因子（2025）[R].零碳实验室,2025.</t>
  </si>
  <si>
    <t>[65] 曹原,张小豪,丁黎宇,等.GHG S3.4&amp;3.9 中国非公路运输排放因子（2025）[R].零碳实验室,2025.</t>
  </si>
  <si>
    <t>[66] 中国建筑节能协会建筑能耗与碳排放数据专委会.2022中国城市生活垃圾处理碳排放研究报告[R].重庆,2022.</t>
  </si>
  <si>
    <t>[67] 中国建筑节能协会建筑能耗与碳排放数据专委会.2022中国城镇污水处理碳排放研究报告[R].重庆,2022.</t>
  </si>
  <si>
    <t>[68] 零碳实验室.GHG S3.6 中国典型差旅出行与住宿活动排放因子（2024）[R].零碳实验室,2025.</t>
  </si>
  <si>
    <t>[69] Cornell University Center for Hospitality Research,Greenview.Cornell Hotel Sustainability Benchmarking Index 2025:Carbon,Energy &amp; Water[R].Ithaca:Cornell University,2025.</t>
  </si>
  <si>
    <t>[70] Smart Freight Centre.Clean Cargo 2022 Global Ocean Container Greenhouse Gas Emission Intensities[R].Amsterdam:Smart Freight Centre,2023.</t>
  </si>
  <si>
    <t>[71] International Civil Aviation Organization.Carbon Emissions Calculator Methodology,Version 11[R].Montreal:ICAO,2018.</t>
  </si>
  <si>
    <t>[72] International Air Transport Association.Recommended Practice 1678:Cargo CO2 Emissions Measurement Methodology[R].Montreal:IATA,2022.</t>
  </si>
  <si>
    <t>[73] Faber J,Hanayama S,Zhang S,et al.Fourth IMO GHG Study 2020[R].London:International Maritime Organization,2020.</t>
  </si>
  <si>
    <t>台</t>
    <phoneticPr fontId="40" type="noConversion"/>
  </si>
  <si>
    <t>外购商品和服务</t>
    <phoneticPr fontId="40" type="noConversion"/>
  </si>
  <si>
    <t>钢铁产品</t>
    <phoneticPr fontId="40" type="noConversion"/>
  </si>
  <si>
    <t>CBAM Legislation and Guidance</t>
    <phoneticPr fontId="40" type="noConversion"/>
  </si>
  <si>
    <t>https://taxation-customs.ec.europa.eu/carbon-border-adjustment-mechanism/cbam-legislation-and-guidance_en#default-values-and-benchmarks-definitive-period</t>
    <phoneticPr fontId="40" type="noConversion"/>
  </si>
  <si>
    <t>t</t>
    <phoneticPr fontId="40" type="noConversion"/>
  </si>
  <si>
    <t>台</t>
    <phoneticPr fontId="40" type="noConversion"/>
  </si>
  <si>
    <t>柴油机、汽油机、燃气机</t>
    <phoneticPr fontId="40" type="noConversion"/>
  </si>
  <si>
    <t>其他有色金属</t>
    <phoneticPr fontId="40" type="noConversion"/>
  </si>
  <si>
    <t>除铝、铜之外的其他有色金属，包括锌、铅、镁、钛、锡等</t>
    <phoneticPr fontId="40" type="noConversion"/>
  </si>
  <si>
    <t>轮胎</t>
    <phoneticPr fontId="40" type="noConversion"/>
  </si>
  <si>
    <t>耐火材料/石墨材料</t>
    <phoneticPr fontId="40" type="noConversion"/>
  </si>
  <si>
    <t>耐火砖、石墨电极、石墨制品</t>
    <phoneticPr fontId="40" type="noConversion"/>
  </si>
  <si>
    <t>锂离子电池</t>
    <phoneticPr fontId="40" type="noConversion"/>
  </si>
  <si>
    <t>kg</t>
    <phoneticPr fontId="40" type="noConversion"/>
  </si>
  <si>
    <t>光伏逆变器/支架/边框</t>
    <phoneticPr fontId="40" type="noConversion"/>
  </si>
  <si>
    <t>显示器/显示面板</t>
    <phoneticPr fontId="40" type="noConversion"/>
  </si>
  <si>
    <t>台式机、笔记本、服务器、存储设备</t>
    <phoneticPr fontId="40" type="noConversion"/>
  </si>
  <si>
    <t>泵、风机、压缩机、阀门</t>
    <phoneticPr fontId="40" type="noConversion"/>
  </si>
  <si>
    <t>工业机器人、金属加工机床的单个设备（并非一整套机床）、专用生产线</t>
    <phoneticPr fontId="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</si>
</sst>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76" formatCode="_ * #,##0.0000_ ;_ * \-#,##0.0000_ ;_ * &quot;-&quot;??.00_ ;_ @_ "/>
    <numFmt numFmtId="177" formatCode="0.0000_ "/>
  </numFmts>
  <fonts count="42">
    <font>
      <sz val="11"/>
      <name val="Carlito"/>
      <charset val="134"/>
    </font>
    <font>
      <sz val="12"/>
      <name val="仿宋"/>
      <family val="3"/>
      <charset val="134"/>
    </font>
    <font>
      <b/>
      <sz val="12"/>
      <name val="仿宋"/>
      <family val="3"/>
      <charset val="134"/>
    </font>
    <font>
      <sz val="10"/>
      <name val="Arial"/>
      <family val="2"/>
    </font>
    <font>
      <b/>
      <sz val="10"/>
      <name val="Arial"/>
      <family val="2"/>
    </font>
    <font>
      <b/>
      <sz val="16"/>
      <color rgb="FFFFFFFF"/>
      <name val="仿宋_GB2312"/>
      <family val="3"/>
      <charset val="134"/>
    </font>
    <font>
      <sz val="10.5"/>
      <name val="仿宋"/>
      <family val="3"/>
      <charset val="134"/>
    </font>
    <font>
      <sz val="9"/>
      <name val="Arial"/>
      <family val="2"/>
    </font>
    <font>
      <b/>
      <sz val="9"/>
      <name val="Arial"/>
      <family val="2"/>
    </font>
    <font>
      <b/>
      <sz val="12"/>
      <color rgb="FFFFFFFF"/>
      <name val="仿宋"/>
      <family val="3"/>
      <charset val="134"/>
    </font>
    <font>
      <sz val="11"/>
      <name val="仿宋"/>
      <family val="3"/>
      <charset val="134"/>
    </font>
    <font>
      <b/>
      <sz val="14"/>
      <color rgb="FFFFFFFF"/>
      <name val="仿宋"/>
      <family val="3"/>
      <charset val="134"/>
    </font>
    <font>
      <b/>
      <sz val="12"/>
      <color theme="0"/>
      <name val="仿宋"/>
      <family val="3"/>
      <charset val="134"/>
    </font>
    <font>
      <b/>
      <sz val="12"/>
      <color theme="0"/>
      <name val="仿宋"/>
      <family val="3"/>
      <charset val="134"/>
    </font>
    <font>
      <sz val="12"/>
      <color rgb="FFFF0000"/>
      <name val="仿宋"/>
      <family val="3"/>
      <charset val="134"/>
    </font>
    <font>
      <b/>
      <sz val="12"/>
      <color rgb="FFFF0000"/>
      <name val="仿宋"/>
      <family val="3"/>
      <charset val="134"/>
    </font>
    <font>
      <sz val="14"/>
      <name val="仿宋"/>
      <family val="3"/>
      <charset val="134"/>
    </font>
    <font>
      <b/>
      <sz val="16"/>
      <color rgb="FFFFFFFF"/>
      <name val="仿宋"/>
      <family val="3"/>
      <charset val="134"/>
    </font>
    <font>
      <u/>
      <sz val="11"/>
      <color rgb="FF0000FF"/>
      <name val="仿宋"/>
      <family val="3"/>
      <charset val="134"/>
    </font>
    <font>
      <b/>
      <sz val="11"/>
      <name val="仿宋"/>
      <family val="3"/>
      <charset val="134"/>
    </font>
    <font>
      <sz val="10"/>
      <color theme="1"/>
      <name val="仿宋"/>
      <family val="3"/>
      <charset val="134"/>
    </font>
    <font>
      <sz val="11"/>
      <color rgb="FF1F4E78"/>
      <name val="仿宋"/>
      <family val="3"/>
      <charset val="134"/>
    </font>
    <font>
      <u/>
      <sz val="11"/>
      <color rgb="FF1F4E78"/>
      <name val="仿宋"/>
      <family val="3"/>
      <charset val="134"/>
    </font>
    <font>
      <b/>
      <sz val="11"/>
      <color rgb="FF002060"/>
      <name val="仿宋"/>
      <family val="3"/>
      <charset val="134"/>
    </font>
    <font>
      <b/>
      <u/>
      <sz val="11"/>
      <color rgb="FF002060"/>
      <name val="仿宋"/>
      <family val="3"/>
      <charset val="134"/>
    </font>
    <font>
      <sz val="11"/>
      <color rgb="FF002060"/>
      <name val="仿宋"/>
      <family val="3"/>
      <charset val="134"/>
    </font>
    <font>
      <sz val="11"/>
      <name val="仿宋_GB2312"/>
      <family val="3"/>
      <charset val="134"/>
    </font>
    <font>
      <b/>
      <sz val="10"/>
      <color rgb="FFFFFFFF"/>
      <name val="仿宋"/>
      <family val="3"/>
      <charset val="134"/>
    </font>
    <font>
      <b/>
      <sz val="10"/>
      <color theme="0"/>
      <name val="仿宋"/>
      <family val="3"/>
      <charset val="134"/>
    </font>
    <font>
      <sz val="10"/>
      <color rgb="FF0070C0"/>
      <name val="Arial"/>
      <family val="2"/>
    </font>
    <font>
      <sz val="10"/>
      <color rgb="FFFF0000"/>
      <name val="Arial"/>
      <family val="2"/>
    </font>
    <font>
      <sz val="12"/>
      <color rgb="FFFFC000"/>
      <name val="仿宋"/>
      <family val="3"/>
      <charset val="134"/>
    </font>
    <font>
      <u/>
      <sz val="11"/>
      <color rgb="FF0000FF"/>
      <name val="Calibri"/>
      <family val="2"/>
      <scheme val="minor"/>
    </font>
    <font>
      <sz val="12"/>
      <name val="宋体"/>
      <family val="3"/>
      <charset val="134"/>
    </font>
    <font>
      <b/>
      <sz val="12"/>
      <color theme="0"/>
      <name val="Times New Roman"/>
      <family val="1"/>
    </font>
    <font>
      <sz val="12"/>
      <name val="Times New Roman"/>
      <family val="1"/>
    </font>
    <font>
      <vertAlign val="subscript"/>
      <sz val="10"/>
      <name val="Arial"/>
      <family val="2"/>
    </font>
    <font>
      <b/>
      <vertAlign val="subscript"/>
      <sz val="10"/>
      <color theme="0"/>
      <name val="仿宋"/>
      <family val="3"/>
      <charset val="134"/>
    </font>
    <font>
      <b/>
      <sz val="12"/>
      <name val="宋体"/>
      <family val="3"/>
      <charset val="134"/>
    </font>
    <font>
      <sz val="11"/>
      <name val="Carlito"/>
      <charset val="134"/>
    </font>
    <font>
      <sz val="9"/>
      <name val="Carlito"/>
      <charset val="134"/>
    </font>
    <font>
      <sz val="10.5"/>
      <color rgb="FFFF0000"/>
      <name val="仿宋"/>
      <family val="3"/>
      <charset val="134"/>
    </font>
  </fonts>
  <fills count="10">
    <fill>
      <patternFill patternType="none"/>
    </fill>
    <fill>
      <patternFill patternType="gray125"/>
    </fill>
    <fill>
      <patternFill patternType="solid">
        <fgColor theme="0"/>
        <bgColor indexed="64"/>
      </patternFill>
    </fill>
    <fill>
      <patternFill patternType="solid">
        <fgColor rgb="FF0F766E"/>
        <bgColor indexed="64"/>
      </patternFill>
    </fill>
    <fill>
      <patternFill patternType="solid">
        <fgColor indexed="9"/>
        <bgColor indexed="64"/>
      </patternFill>
    </fill>
    <fill>
      <patternFill patternType="solid">
        <fgColor rgb="FF2F9DA6"/>
        <bgColor indexed="64"/>
      </patternFill>
    </fill>
    <fill>
      <patternFill patternType="solid">
        <fgColor rgb="FF6FB291"/>
        <bgColor rgb="FF6F9BB9"/>
      </patternFill>
    </fill>
    <fill>
      <patternFill patternType="solid">
        <fgColor theme="0" tint="-0.249977111117893"/>
        <bgColor indexed="64"/>
      </patternFill>
    </fill>
    <fill>
      <patternFill patternType="solid">
        <fgColor theme="0" tint="-0.499984740745262"/>
        <bgColor indexed="64"/>
      </patternFill>
    </fill>
    <fill>
      <patternFill patternType="solid">
        <fgColor rgb="FFFFFF00"/>
        <bgColor indexed="64"/>
      </patternFill>
    </fill>
  </fills>
  <borders count="10">
    <border>
      <left/>
      <right/>
      <top/>
      <bottom/>
      <diagonal/>
    </border>
    <border>
      <left style="thin">
        <color rgb="FFB7C9D6"/>
      </left>
      <right/>
      <top/>
      <bottom/>
      <diagonal/>
    </border>
    <border>
      <left style="thin">
        <color rgb="FFB7C9D6"/>
      </left>
      <right style="thin">
        <color rgb="FFB7C9D6"/>
      </right>
      <top style="thin">
        <color rgb="FFB7C9D6"/>
      </top>
      <bottom style="thin">
        <color rgb="FFB7C9D6"/>
      </bottom>
      <diagonal/>
    </border>
    <border>
      <left style="thin">
        <color rgb="FFBBBBBB"/>
      </left>
      <right style="thin">
        <color rgb="FFBBBBBB"/>
      </right>
      <top style="thin">
        <color rgb="FFBBBBBB"/>
      </top>
      <bottom/>
      <diagonal/>
    </border>
    <border>
      <left/>
      <right/>
      <top style="medium">
        <color auto="1"/>
      </top>
      <bottom style="thin">
        <color auto="1"/>
      </bottom>
      <diagonal/>
    </border>
    <border>
      <left/>
      <right/>
      <top/>
      <bottom style="thin">
        <color auto="1"/>
      </bottom>
      <diagonal/>
    </border>
    <border>
      <left/>
      <right/>
      <top style="thin">
        <color auto="1"/>
      </top>
      <bottom style="thin">
        <color auto="1"/>
      </bottom>
      <diagonal/>
    </border>
    <border>
      <left/>
      <right/>
      <top style="thin">
        <color auto="1"/>
      </top>
      <bottom style="medium">
        <color auto="1"/>
      </bottom>
      <diagonal/>
    </border>
    <border>
      <left style="thin">
        <color rgb="FFBBBBBB"/>
      </left>
      <right style="thin">
        <color rgb="FFBBBBBB"/>
      </right>
      <top style="thin">
        <color rgb="FFBBBBBB"/>
      </top>
      <bottom style="thin">
        <color rgb="FFBBBBBB"/>
      </bottom>
      <diagonal/>
    </border>
    <border>
      <left/>
      <right/>
      <top style="thin">
        <color auto="1"/>
      </top>
      <bottom style="thick">
        <color auto="1"/>
      </bottom>
      <diagonal/>
    </border>
  </borders>
  <cellStyleXfs count="3">
    <xf numFmtId="0" fontId="0" fillId="0" borderId="0">
      <alignment vertical="center"/>
    </xf>
    <xf numFmtId="0" fontId="32" fillId="0" borderId="0" applyNumberFormat="0" applyFill="0" applyBorder="0" applyAlignment="0" applyProtection="0">
      <alignment vertical="center"/>
    </xf>
    <xf numFmtId="0" fontId="39" fillId="0" borderId="0"/>
  </cellStyleXfs>
  <cellXfs count="140">
    <xf numFmtId="0" fontId="0" fillId="0" borderId="0" xfId="0" applyAlignment="1"/>
    <xf numFmtId="0" fontId="1" fillId="2" borderId="0" xfId="2" applyFont="1" applyFill="1" applyAlignment="1">
      <alignment vertical="center"/>
    </xf>
    <xf numFmtId="0" fontId="2" fillId="2" borderId="0" xfId="2" applyFont="1" applyFill="1" applyAlignment="1">
      <alignment vertical="center"/>
    </xf>
    <xf numFmtId="0" fontId="3" fillId="0" borderId="0" xfId="0" applyFont="1">
      <alignment vertical="center"/>
    </xf>
    <xf numFmtId="0" fontId="4" fillId="0" borderId="0" xfId="0" applyFont="1">
      <alignment vertical="center"/>
    </xf>
    <xf numFmtId="0" fontId="6" fillId="2" borderId="0" xfId="0" applyFont="1" applyFill="1" applyAlignment="1">
      <alignment horizontal="left" vertical="center"/>
    </xf>
    <xf numFmtId="0" fontId="3" fillId="4" borderId="0" xfId="0" applyFont="1" applyFill="1">
      <alignment vertical="center"/>
    </xf>
    <xf numFmtId="0" fontId="3" fillId="2" borderId="0" xfId="0" applyFont="1" applyFill="1" applyAlignment="1">
      <alignment horizontal="left" vertical="center" wrapText="1"/>
    </xf>
    <xf numFmtId="0" fontId="4" fillId="4" borderId="0" xfId="0" applyFont="1" applyFill="1">
      <alignment vertical="center"/>
    </xf>
    <xf numFmtId="0" fontId="4" fillId="2" borderId="0" xfId="0" applyFont="1" applyFill="1" applyAlignment="1">
      <alignment horizontal="left" vertical="center" wrapText="1"/>
    </xf>
    <xf numFmtId="0" fontId="3" fillId="2" borderId="0" xfId="0" applyFont="1" applyFill="1">
      <alignment vertical="center"/>
    </xf>
    <xf numFmtId="0" fontId="7" fillId="4" borderId="0" xfId="0" applyFont="1" applyFill="1">
      <alignment vertical="center"/>
    </xf>
    <xf numFmtId="0" fontId="4" fillId="2" borderId="0" xfId="0" applyFont="1" applyFill="1">
      <alignment vertical="center"/>
    </xf>
    <xf numFmtId="0" fontId="8" fillId="4" borderId="0" xfId="0" applyFont="1" applyFill="1" applyAlignment="1">
      <alignment horizontal="center" vertical="center"/>
    </xf>
    <xf numFmtId="0" fontId="7" fillId="4" borderId="0" xfId="0" applyFont="1" applyFill="1" applyAlignment="1">
      <alignment horizontal="center" vertical="center"/>
    </xf>
    <xf numFmtId="0" fontId="2" fillId="2" borderId="0" xfId="2" applyFont="1" applyFill="1" applyAlignment="1">
      <alignment vertical="center" wrapText="1"/>
    </xf>
    <xf numFmtId="0" fontId="1" fillId="2" borderId="0" xfId="2" applyFont="1" applyFill="1" applyAlignment="1">
      <alignment horizontal="left" vertical="center" wrapText="1"/>
    </xf>
    <xf numFmtId="0" fontId="9" fillId="2" borderId="0" xfId="2" applyFont="1" applyFill="1" applyAlignment="1">
      <alignment horizontal="left" vertical="center"/>
    </xf>
    <xf numFmtId="0" fontId="1" fillId="2" borderId="0" xfId="2" applyFont="1" applyFill="1" applyAlignment="1">
      <alignment vertical="center" wrapText="1"/>
    </xf>
    <xf numFmtId="0" fontId="10" fillId="2" borderId="0" xfId="2" applyFont="1" applyFill="1" applyAlignment="1">
      <alignment vertical="center"/>
    </xf>
    <xf numFmtId="0" fontId="3" fillId="4" borderId="0" xfId="0" applyFont="1" applyFill="1" applyAlignment="1">
      <alignment horizontal="left" vertical="center" wrapText="1"/>
    </xf>
    <xf numFmtId="0" fontId="4" fillId="4" borderId="0" xfId="0" applyFont="1" applyFill="1" applyAlignment="1">
      <alignment horizontal="left" vertical="center" wrapText="1"/>
    </xf>
    <xf numFmtId="0" fontId="1" fillId="2" borderId="0" xfId="2" applyFont="1" applyFill="1"/>
    <xf numFmtId="0" fontId="1" fillId="2" borderId="0" xfId="2" applyFont="1" applyFill="1" applyProtection="1">
      <protection locked="0"/>
    </xf>
    <xf numFmtId="43" fontId="1" fillId="2" borderId="0" xfId="2" applyNumberFormat="1" applyFont="1" applyFill="1" applyAlignment="1">
      <alignment horizontal="right"/>
    </xf>
    <xf numFmtId="43" fontId="1" fillId="2" borderId="0" xfId="2" applyNumberFormat="1" applyFont="1" applyFill="1"/>
    <xf numFmtId="0" fontId="1" fillId="2" borderId="0" xfId="2" applyFont="1" applyFill="1" applyAlignment="1">
      <alignment horizontal="right"/>
    </xf>
    <xf numFmtId="0" fontId="39" fillId="2" borderId="0" xfId="2" applyFill="1"/>
    <xf numFmtId="0" fontId="5" fillId="3" borderId="0" xfId="2" applyFont="1" applyFill="1" applyAlignment="1">
      <alignment wrapText="1"/>
    </xf>
    <xf numFmtId="0" fontId="9" fillId="5" borderId="0" xfId="2" applyFont="1" applyFill="1"/>
    <xf numFmtId="0" fontId="2" fillId="2" borderId="2" xfId="2" applyFont="1" applyFill="1" applyBorder="1" applyAlignment="1">
      <alignment vertical="center" wrapText="1"/>
    </xf>
    <xf numFmtId="0" fontId="1" fillId="2" borderId="2" xfId="2" applyFont="1" applyFill="1" applyBorder="1" applyAlignment="1">
      <alignment vertical="center" wrapText="1"/>
    </xf>
    <xf numFmtId="0" fontId="12" fillId="6" borderId="3" xfId="0" applyFont="1" applyFill="1" applyBorder="1" applyAlignment="1">
      <alignment horizontal="left" vertical="center" wrapText="1"/>
    </xf>
    <xf numFmtId="0" fontId="13" fillId="6" borderId="3" xfId="0" applyFont="1" applyFill="1" applyBorder="1" applyAlignment="1">
      <alignment horizontal="left" vertical="center" wrapText="1"/>
    </xf>
    <xf numFmtId="0" fontId="12" fillId="6" borderId="3" xfId="0" applyFont="1" applyFill="1" applyBorder="1" applyAlignment="1">
      <alignment horizontal="right" vertical="center" wrapText="1"/>
    </xf>
    <xf numFmtId="0" fontId="39" fillId="0" borderId="0" xfId="2" applyProtection="1">
      <protection locked="0"/>
    </xf>
    <xf numFmtId="0" fontId="1" fillId="2" borderId="4" xfId="2" applyFont="1" applyFill="1" applyBorder="1"/>
    <xf numFmtId="0" fontId="1" fillId="2" borderId="4" xfId="2" applyFont="1" applyFill="1" applyBorder="1" applyAlignment="1">
      <alignment horizontal="right"/>
    </xf>
    <xf numFmtId="43" fontId="1" fillId="2" borderId="4" xfId="2" applyNumberFormat="1" applyFont="1" applyFill="1" applyBorder="1" applyAlignment="1">
      <alignment horizontal="right"/>
    </xf>
    <xf numFmtId="43" fontId="1" fillId="2" borderId="4" xfId="2" applyNumberFormat="1" applyFont="1" applyFill="1" applyBorder="1"/>
    <xf numFmtId="0" fontId="1" fillId="2" borderId="5" xfId="2" applyFont="1" applyFill="1" applyBorder="1"/>
    <xf numFmtId="0" fontId="1" fillId="2" borderId="5" xfId="2" applyFont="1" applyFill="1" applyBorder="1" applyAlignment="1">
      <alignment horizontal="right"/>
    </xf>
    <xf numFmtId="43" fontId="1" fillId="2" borderId="5" xfId="2" applyNumberFormat="1" applyFont="1" applyFill="1" applyBorder="1" applyAlignment="1">
      <alignment horizontal="right"/>
    </xf>
    <xf numFmtId="43" fontId="1" fillId="2" borderId="5" xfId="2" applyNumberFormat="1" applyFont="1" applyFill="1" applyBorder="1"/>
    <xf numFmtId="0" fontId="14" fillId="2" borderId="5" xfId="2" applyFont="1" applyFill="1" applyBorder="1"/>
    <xf numFmtId="0" fontId="14" fillId="2" borderId="5" xfId="2" applyFont="1" applyFill="1" applyBorder="1" applyAlignment="1">
      <alignment horizontal="right"/>
    </xf>
    <xf numFmtId="43" fontId="14" fillId="2" borderId="5" xfId="2" applyNumberFormat="1" applyFont="1" applyFill="1" applyBorder="1" applyAlignment="1">
      <alignment horizontal="right"/>
    </xf>
    <xf numFmtId="43" fontId="14" fillId="2" borderId="5" xfId="2" applyNumberFormat="1" applyFont="1" applyFill="1" applyBorder="1"/>
    <xf numFmtId="0" fontId="15" fillId="2" borderId="0" xfId="2" applyFont="1" applyFill="1"/>
    <xf numFmtId="0" fontId="1" fillId="2" borderId="6" xfId="2" applyFont="1" applyFill="1" applyBorder="1"/>
    <xf numFmtId="0" fontId="1" fillId="2" borderId="6" xfId="2" applyFont="1" applyFill="1" applyBorder="1" applyAlignment="1">
      <alignment horizontal="right"/>
    </xf>
    <xf numFmtId="43" fontId="1" fillId="2" borderId="6" xfId="2" applyNumberFormat="1" applyFont="1" applyFill="1" applyBorder="1" applyAlignment="1">
      <alignment horizontal="right"/>
    </xf>
    <xf numFmtId="176" fontId="1" fillId="2" borderId="6" xfId="2" applyNumberFormat="1" applyFont="1" applyFill="1" applyBorder="1"/>
    <xf numFmtId="177" fontId="1" fillId="2" borderId="6" xfId="2" applyNumberFormat="1" applyFont="1" applyFill="1" applyBorder="1" applyAlignment="1">
      <alignment horizontal="right"/>
    </xf>
    <xf numFmtId="0" fontId="1" fillId="2" borderId="7" xfId="2" applyFont="1" applyFill="1" applyBorder="1"/>
    <xf numFmtId="0" fontId="1" fillId="2" borderId="7" xfId="2" applyFont="1" applyFill="1" applyBorder="1" applyAlignment="1">
      <alignment horizontal="right"/>
    </xf>
    <xf numFmtId="43" fontId="1" fillId="2" borderId="7" xfId="2" applyNumberFormat="1" applyFont="1" applyFill="1" applyBorder="1" applyAlignment="1">
      <alignment horizontal="right"/>
    </xf>
    <xf numFmtId="176" fontId="1" fillId="2" borderId="7" xfId="2" applyNumberFormat="1" applyFont="1" applyFill="1" applyBorder="1"/>
    <xf numFmtId="43" fontId="13" fillId="6" borderId="3" xfId="0" applyNumberFormat="1" applyFont="1" applyFill="1" applyBorder="1" applyAlignment="1">
      <alignment horizontal="right" vertical="center" wrapText="1"/>
    </xf>
    <xf numFmtId="176" fontId="1" fillId="2" borderId="4" xfId="2" applyNumberFormat="1" applyFont="1" applyFill="1" applyBorder="1"/>
    <xf numFmtId="0" fontId="1" fillId="7" borderId="6" xfId="2" applyFont="1" applyFill="1" applyBorder="1"/>
    <xf numFmtId="0" fontId="1" fillId="7" borderId="6" xfId="2" applyFont="1" applyFill="1" applyBorder="1" applyAlignment="1">
      <alignment horizontal="right"/>
    </xf>
    <xf numFmtId="43" fontId="1" fillId="7" borderId="6" xfId="2" applyNumberFormat="1" applyFont="1" applyFill="1" applyBorder="1" applyAlignment="1">
      <alignment horizontal="right"/>
    </xf>
    <xf numFmtId="176" fontId="1" fillId="7" borderId="6" xfId="2" applyNumberFormat="1" applyFont="1" applyFill="1" applyBorder="1"/>
    <xf numFmtId="0" fontId="1" fillId="7" borderId="7" xfId="2" applyFont="1" applyFill="1" applyBorder="1"/>
    <xf numFmtId="0" fontId="1" fillId="7" borderId="7" xfId="2" applyFont="1" applyFill="1" applyBorder="1" applyAlignment="1">
      <alignment horizontal="right"/>
    </xf>
    <xf numFmtId="43" fontId="1" fillId="7" borderId="7" xfId="2" applyNumberFormat="1" applyFont="1" applyFill="1" applyBorder="1" applyAlignment="1">
      <alignment horizontal="right"/>
    </xf>
    <xf numFmtId="176" fontId="1" fillId="7" borderId="7" xfId="2" applyNumberFormat="1" applyFont="1" applyFill="1" applyBorder="1"/>
    <xf numFmtId="0" fontId="39" fillId="0" borderId="0" xfId="2"/>
    <xf numFmtId="43" fontId="12" fillId="6" borderId="3" xfId="0" applyNumberFormat="1" applyFont="1" applyFill="1" applyBorder="1" applyAlignment="1">
      <alignment horizontal="right" vertical="center" wrapText="1"/>
    </xf>
    <xf numFmtId="43" fontId="1" fillId="2" borderId="6" xfId="2" applyNumberFormat="1" applyFont="1" applyFill="1" applyBorder="1"/>
    <xf numFmtId="43" fontId="1" fillId="8" borderId="6" xfId="2" applyNumberFormat="1" applyFont="1" applyFill="1" applyBorder="1"/>
    <xf numFmtId="0" fontId="14" fillId="2" borderId="6" xfId="2" applyFont="1" applyFill="1" applyBorder="1"/>
    <xf numFmtId="0" fontId="14" fillId="2" borderId="6" xfId="2" applyFont="1" applyFill="1" applyBorder="1" applyAlignment="1">
      <alignment horizontal="right"/>
    </xf>
    <xf numFmtId="43" fontId="14" fillId="2" borderId="6" xfId="2" applyNumberFormat="1" applyFont="1" applyFill="1" applyBorder="1" applyAlignment="1">
      <alignment horizontal="right"/>
    </xf>
    <xf numFmtId="43" fontId="14" fillId="2" borderId="6" xfId="2" applyNumberFormat="1" applyFont="1" applyFill="1" applyBorder="1"/>
    <xf numFmtId="43" fontId="1" fillId="2" borderId="7" xfId="2" applyNumberFormat="1" applyFont="1" applyFill="1" applyBorder="1"/>
    <xf numFmtId="0" fontId="16" fillId="2" borderId="0" xfId="2" applyFont="1" applyFill="1"/>
    <xf numFmtId="0" fontId="10" fillId="2" borderId="0" xfId="2" applyFont="1" applyFill="1"/>
    <xf numFmtId="0" fontId="18" fillId="2" borderId="0" xfId="1" applyNumberFormat="1" applyFont="1" applyFill="1" applyBorder="1" applyAlignment="1">
      <alignment vertical="top" wrapText="1"/>
    </xf>
    <xf numFmtId="0" fontId="10" fillId="2" borderId="0" xfId="2" applyFont="1" applyFill="1" applyAlignment="1">
      <alignment vertical="top" wrapText="1"/>
    </xf>
    <xf numFmtId="0" fontId="19" fillId="2" borderId="0" xfId="2" applyFont="1" applyFill="1" applyAlignment="1">
      <alignment wrapText="1"/>
    </xf>
    <xf numFmtId="0" fontId="19" fillId="2" borderId="0" xfId="2" applyFont="1" applyFill="1" applyAlignment="1">
      <alignment vertical="top" wrapText="1"/>
    </xf>
    <xf numFmtId="0" fontId="20" fillId="2" borderId="0" xfId="0" applyFont="1" applyFill="1" applyAlignment="1">
      <alignment vertical="top" wrapText="1"/>
    </xf>
    <xf numFmtId="0" fontId="21" fillId="2" borderId="0" xfId="0" applyFont="1" applyFill="1" applyAlignment="1"/>
    <xf numFmtId="0" fontId="22" fillId="2" borderId="0" xfId="1" applyNumberFormat="1" applyFont="1" applyFill="1" applyBorder="1" applyAlignment="1" applyProtection="1"/>
    <xf numFmtId="0" fontId="20" fillId="2" borderId="0" xfId="0" applyFont="1" applyFill="1" applyAlignment="1">
      <alignment horizontal="left"/>
    </xf>
    <xf numFmtId="0" fontId="20" fillId="0" borderId="0" xfId="0" applyFont="1" applyAlignment="1">
      <alignment horizontal="left"/>
    </xf>
    <xf numFmtId="0" fontId="20" fillId="2" borderId="0" xfId="0" applyFont="1" applyFill="1" applyAlignment="1"/>
    <xf numFmtId="0" fontId="23" fillId="2" borderId="4" xfId="0" applyFont="1" applyFill="1" applyBorder="1" applyAlignment="1">
      <alignment vertical="top"/>
    </xf>
    <xf numFmtId="0" fontId="24" fillId="2" borderId="4" xfId="0" applyFont="1" applyFill="1" applyBorder="1" applyAlignment="1">
      <alignment vertical="top"/>
    </xf>
    <xf numFmtId="0" fontId="25" fillId="2" borderId="6" xfId="0" applyFont="1" applyFill="1" applyBorder="1" applyAlignment="1">
      <alignment vertical="center" wrapText="1"/>
    </xf>
    <xf numFmtId="0" fontId="25" fillId="2" borderId="7" xfId="0" applyFont="1" applyFill="1" applyBorder="1" applyAlignment="1">
      <alignment vertical="center" wrapText="1"/>
    </xf>
    <xf numFmtId="0" fontId="25" fillId="2" borderId="7" xfId="0" applyFont="1" applyFill="1" applyBorder="1">
      <alignment vertical="center"/>
    </xf>
    <xf numFmtId="0" fontId="26" fillId="2" borderId="0" xfId="2" applyFont="1" applyFill="1"/>
    <xf numFmtId="0" fontId="3" fillId="0" borderId="0" xfId="0" applyFont="1" applyAlignment="1"/>
    <xf numFmtId="0" fontId="1" fillId="2" borderId="0" xfId="2" applyFont="1" applyFill="1" applyAlignment="1">
      <alignment vertical="top" wrapText="1"/>
    </xf>
    <xf numFmtId="0" fontId="3" fillId="4" borderId="0" xfId="0" applyFont="1" applyFill="1" applyAlignment="1"/>
    <xf numFmtId="0" fontId="27" fillId="6" borderId="8" xfId="0" applyFont="1" applyFill="1" applyBorder="1" applyAlignment="1">
      <alignment horizontal="center" vertical="center" wrapText="1"/>
    </xf>
    <xf numFmtId="0" fontId="28" fillId="6" borderId="8" xfId="0" applyFont="1" applyFill="1" applyBorder="1" applyAlignment="1">
      <alignment horizontal="center" vertical="center" wrapText="1"/>
    </xf>
    <xf numFmtId="0" fontId="3" fillId="4" borderId="0" xfId="0" applyFont="1" applyFill="1" applyAlignment="1">
      <alignment horizontal="left" wrapText="1"/>
    </xf>
    <xf numFmtId="0" fontId="29" fillId="4" borderId="0" xfId="0" applyFont="1" applyFill="1" applyAlignment="1">
      <alignment horizontal="left" wrapText="1"/>
    </xf>
    <xf numFmtId="0" fontId="3" fillId="4" borderId="6" xfId="0" applyFont="1" applyFill="1" applyBorder="1" applyAlignment="1">
      <alignment horizontal="center" vertical="center"/>
    </xf>
    <xf numFmtId="0" fontId="30" fillId="4" borderId="0" xfId="0" applyFont="1" applyFill="1" applyAlignment="1"/>
    <xf numFmtId="0" fontId="7" fillId="4" borderId="0" xfId="0" applyFont="1" applyFill="1" applyAlignment="1"/>
    <xf numFmtId="0" fontId="7" fillId="4" borderId="0" xfId="0" applyFont="1" applyFill="1" applyAlignment="1">
      <alignment horizontal="center"/>
    </xf>
    <xf numFmtId="0" fontId="3" fillId="4" borderId="9" xfId="0" applyFont="1" applyFill="1" applyBorder="1" applyAlignment="1">
      <alignment horizontal="center" vertical="center"/>
    </xf>
    <xf numFmtId="0" fontId="7" fillId="2" borderId="0" xfId="0" applyFont="1" applyFill="1" applyAlignment="1">
      <alignment horizontal="left" vertical="top" wrapText="1"/>
    </xf>
    <xf numFmtId="0" fontId="41" fillId="2" borderId="0" xfId="0" applyFont="1" applyFill="1" applyAlignment="1">
      <alignment horizontal="left" vertical="center"/>
    </xf>
    <xf numFmtId="0" fontId="14" fillId="2" borderId="0" xfId="2" applyFont="1" applyFill="1" applyAlignment="1">
      <alignment vertical="center"/>
    </xf>
    <xf numFmtId="43" fontId="14" fillId="9" borderId="5" xfId="2" applyNumberFormat="1" applyFont="1" applyFill="1" applyBorder="1" applyAlignment="1">
      <alignment horizontal="right"/>
    </xf>
    <xf numFmtId="0" fontId="5" fillId="3" borderId="0" xfId="2" applyFont="1" applyFill="1" applyAlignment="1">
      <alignment horizontal="left" wrapText="1"/>
    </xf>
    <xf numFmtId="0" fontId="5" fillId="3" borderId="0" xfId="2" applyFont="1" applyFill="1" applyAlignment="1">
      <alignment horizontal="right" wrapText="1"/>
    </xf>
    <xf numFmtId="0" fontId="2" fillId="2" borderId="0" xfId="2" applyFont="1" applyFill="1"/>
    <xf numFmtId="0" fontId="2" fillId="2" borderId="0" xfId="2" applyFont="1" applyFill="1" applyAlignment="1">
      <alignment horizontal="right"/>
    </xf>
    <xf numFmtId="0" fontId="11" fillId="5" borderId="0" xfId="2" applyFont="1" applyFill="1" applyAlignment="1">
      <alignment horizontal="left"/>
    </xf>
    <xf numFmtId="0" fontId="11" fillId="5" borderId="0" xfId="2" applyFont="1" applyFill="1" applyAlignment="1">
      <alignment horizontal="right"/>
    </xf>
    <xf numFmtId="0" fontId="9" fillId="5" borderId="0" xfId="2" applyFont="1" applyFill="1" applyAlignment="1">
      <alignment horizontal="left"/>
    </xf>
    <xf numFmtId="0" fontId="31" fillId="2" borderId="0" xfId="2" applyFont="1" applyFill="1" applyAlignment="1">
      <alignment vertical="top" wrapText="1"/>
    </xf>
    <xf numFmtId="0" fontId="1" fillId="2" borderId="0" xfId="2" applyFont="1" applyFill="1" applyAlignment="1">
      <alignment vertical="top" wrapText="1"/>
    </xf>
    <xf numFmtId="0" fontId="1" fillId="2" borderId="0" xfId="2" applyFont="1" applyFill="1" applyAlignment="1">
      <alignment horizontal="left" vertical="top" wrapText="1"/>
    </xf>
    <xf numFmtId="0" fontId="7" fillId="2" borderId="0" xfId="0" applyFont="1" applyFill="1" applyAlignment="1">
      <alignment horizontal="left" vertical="top" wrapText="1"/>
    </xf>
    <xf numFmtId="0" fontId="2" fillId="2" borderId="1" xfId="2" applyFont="1" applyFill="1" applyBorder="1" applyAlignment="1">
      <alignment horizontal="left" vertical="top" wrapText="1"/>
    </xf>
    <xf numFmtId="0" fontId="2" fillId="2" borderId="0" xfId="2" applyFont="1" applyFill="1" applyAlignment="1">
      <alignment horizontal="left" vertical="top" wrapText="1"/>
    </xf>
    <xf numFmtId="0" fontId="10" fillId="2" borderId="0" xfId="2" applyFont="1" applyFill="1" applyAlignment="1">
      <alignment vertical="top" wrapText="1"/>
    </xf>
    <xf numFmtId="0" fontId="17" fillId="3" borderId="0" xfId="2" applyFont="1" applyFill="1" applyAlignment="1">
      <alignment horizontal="left" wrapText="1"/>
    </xf>
    <xf numFmtId="0" fontId="2" fillId="2" borderId="0" xfId="2" applyFont="1" applyFill="1" applyAlignment="1">
      <alignment vertical="center" wrapText="1"/>
    </xf>
    <xf numFmtId="0" fontId="1" fillId="2" borderId="0" xfId="2" applyFont="1" applyFill="1" applyAlignment="1">
      <alignment vertical="center" wrapText="1"/>
    </xf>
    <xf numFmtId="0" fontId="9" fillId="5" borderId="0" xfId="2" applyFont="1" applyFill="1" applyAlignment="1">
      <alignment horizontal="left" vertical="center"/>
    </xf>
    <xf numFmtId="0" fontId="1" fillId="2" borderId="0" xfId="2" applyFont="1" applyFill="1" applyAlignment="1">
      <alignment horizontal="left" vertical="center" wrapText="1"/>
    </xf>
    <xf numFmtId="0" fontId="2" fillId="2" borderId="0" xfId="2" applyFont="1" applyFill="1" applyAlignment="1">
      <alignment horizontal="left" vertical="center" wrapText="1"/>
    </xf>
    <xf numFmtId="0" fontId="11" fillId="5" borderId="0" xfId="2" applyFont="1" applyFill="1" applyAlignment="1">
      <alignment horizontal="left" vertical="center"/>
    </xf>
    <xf numFmtId="0" fontId="1" fillId="2" borderId="1" xfId="2" applyFont="1" applyFill="1" applyBorder="1" applyAlignment="1">
      <alignment horizontal="left" vertical="center" wrapText="1"/>
    </xf>
    <xf numFmtId="0" fontId="5" fillId="3" borderId="0" xfId="2" applyFont="1" applyFill="1" applyAlignment="1">
      <alignment horizontal="left" vertical="center" wrapText="1"/>
    </xf>
    <xf numFmtId="0" fontId="2" fillId="2" borderId="0" xfId="2" applyFont="1" applyFill="1" applyAlignment="1">
      <alignment vertical="center"/>
    </xf>
    <xf numFmtId="0" fontId="32" fillId="2" borderId="0" xfId="1" applyFill="1" applyAlignment="1">
      <alignment vertical="center" wrapText="1"/>
    </xf>
    <xf numFmtId="43" fontId="1" fillId="9" borderId="5" xfId="2" applyNumberFormat="1" applyFont="1" applyFill="1" applyBorder="1" applyAlignment="1">
      <alignment horizontal="right"/>
    </xf>
    <xf numFmtId="43" fontId="1" fillId="9" borderId="5" xfId="2" applyNumberFormat="1" applyFont="1" applyFill="1" applyBorder="1"/>
    <xf numFmtId="43" fontId="14" fillId="9" borderId="5" xfId="2" applyNumberFormat="1" applyFont="1" applyFill="1" applyBorder="1"/>
    <xf numFmtId="0" fontId="14" fillId="9" borderId="5" xfId="2" applyFont="1" applyFill="1" applyBorder="1"/>
  </cellXfs>
  <cellStyles count="3">
    <cellStyle name="Normal" xfId="2" xr:uid="{00000000-0005-0000-0000-000031000000}"/>
    <cellStyle name="常规" xfId="0" builtinId="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272415</xdr:colOff>
      <xdr:row>6</xdr:row>
      <xdr:rowOff>63500</xdr:rowOff>
    </xdr:from>
    <xdr:to>
      <xdr:col>3</xdr:col>
      <xdr:colOff>316230</xdr:colOff>
      <xdr:row>7</xdr:row>
      <xdr:rowOff>95250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rcRect r="53319"/>
        <a:stretch>
          <a:fillRect/>
        </a:stretch>
      </xdr:blipFill>
      <xdr:spPr>
        <a:xfrm>
          <a:off x="272415" y="1892300"/>
          <a:ext cx="4584065" cy="666750"/>
        </a:xfrm>
        <a:prstGeom prst="rect">
          <a:avLst/>
        </a:prstGeom>
        <a:noFill/>
        <a:ln w="9525">
          <a:noFill/>
        </a:ln>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s://taxation-customs.ec.europa.eu/carbon-border-adjustment-mechanism/cbam-legislation-and-guidance_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60"/>
  <sheetViews>
    <sheetView topLeftCell="A44" zoomScale="80" zoomScaleNormal="80" workbookViewId="0"/>
  </sheetViews>
  <sheetFormatPr defaultColWidth="9" defaultRowHeight="18" customHeight="1"/>
  <cols>
    <col min="1" max="1" width="3.61328125" style="22" customWidth="1"/>
    <col min="2" max="2" width="18" style="22" customWidth="1"/>
    <col min="3" max="3" width="38" style="22" customWidth="1"/>
    <col min="4" max="4" width="18" style="22" customWidth="1"/>
    <col min="5" max="5" width="42" style="22" customWidth="1"/>
    <col min="6" max="16384" width="9" style="22"/>
  </cols>
  <sheetData>
    <row r="2" spans="2:5" ht="36" customHeight="1">
      <c r="B2" s="111" t="s">
        <v>0</v>
      </c>
      <c r="C2" s="111"/>
      <c r="D2" s="111"/>
      <c r="E2" s="111"/>
    </row>
    <row r="3" spans="2:5" ht="18" customHeight="1">
      <c r="B3" s="113"/>
      <c r="C3" s="113"/>
      <c r="D3" s="113"/>
      <c r="E3" s="113"/>
    </row>
    <row r="4" spans="2:5" ht="18" customHeight="1">
      <c r="B4" s="115" t="s">
        <v>1</v>
      </c>
      <c r="C4" s="115"/>
      <c r="D4" s="115"/>
      <c r="E4" s="115"/>
    </row>
    <row r="6" spans="2:5" ht="36" customHeight="1">
      <c r="B6" s="30" t="s">
        <v>2</v>
      </c>
      <c r="C6" s="31" t="s">
        <v>3</v>
      </c>
      <c r="D6" s="30" t="s">
        <v>4</v>
      </c>
      <c r="E6" s="31" t="s">
        <v>5</v>
      </c>
    </row>
    <row r="7" spans="2:5" ht="50.05" customHeight="1"/>
    <row r="9" spans="2:5" ht="18" customHeight="1">
      <c r="B9" s="117" t="s">
        <v>6</v>
      </c>
      <c r="C9" s="117" t="s">
        <v>7</v>
      </c>
      <c r="D9" s="117" t="s">
        <v>7</v>
      </c>
      <c r="E9" s="117" t="s">
        <v>7</v>
      </c>
    </row>
    <row r="10" spans="2:5" ht="51" customHeight="1">
      <c r="B10" s="119" t="s">
        <v>8</v>
      </c>
      <c r="C10" s="119" t="s">
        <v>9</v>
      </c>
      <c r="D10" s="119" t="s">
        <v>9</v>
      </c>
      <c r="E10" s="119" t="s">
        <v>9</v>
      </c>
    </row>
    <row r="11" spans="2:5" ht="51" customHeight="1">
      <c r="B11" s="119" t="s">
        <v>10</v>
      </c>
      <c r="C11" s="119" t="s">
        <v>11</v>
      </c>
      <c r="D11" s="119" t="s">
        <v>11</v>
      </c>
      <c r="E11" s="119" t="s">
        <v>11</v>
      </c>
    </row>
    <row r="12" spans="2:5" ht="57" customHeight="1">
      <c r="B12" s="119" t="s">
        <v>12</v>
      </c>
      <c r="C12" s="119" t="s">
        <v>11</v>
      </c>
      <c r="D12" s="119" t="s">
        <v>11</v>
      </c>
      <c r="E12" s="119" t="s">
        <v>11</v>
      </c>
    </row>
    <row r="14" spans="2:5" ht="18" customHeight="1">
      <c r="B14" s="117" t="s">
        <v>13</v>
      </c>
      <c r="C14" s="117" t="s">
        <v>13</v>
      </c>
      <c r="D14" s="117" t="s">
        <v>13</v>
      </c>
      <c r="E14" s="117" t="s">
        <v>13</v>
      </c>
    </row>
    <row r="15" spans="2:5" ht="18" customHeight="1">
      <c r="B15" s="119" t="s">
        <v>14</v>
      </c>
      <c r="C15" s="119" t="s">
        <v>14</v>
      </c>
      <c r="D15" s="119" t="s">
        <v>14</v>
      </c>
      <c r="E15" s="119" t="s">
        <v>14</v>
      </c>
    </row>
    <row r="16" spans="2:5" ht="18" customHeight="1">
      <c r="B16" s="119" t="s">
        <v>15</v>
      </c>
      <c r="C16" s="119" t="s">
        <v>15</v>
      </c>
      <c r="D16" s="119" t="s">
        <v>15</v>
      </c>
      <c r="E16" s="119" t="s">
        <v>15</v>
      </c>
    </row>
    <row r="17" spans="2:5" ht="18" customHeight="1">
      <c r="B17" s="119" t="s">
        <v>16</v>
      </c>
      <c r="C17" s="119" t="s">
        <v>16</v>
      </c>
      <c r="D17" s="119" t="s">
        <v>16</v>
      </c>
      <c r="E17" s="119" t="s">
        <v>16</v>
      </c>
    </row>
    <row r="19" spans="2:5" ht="18" customHeight="1">
      <c r="B19" s="117" t="s">
        <v>17</v>
      </c>
      <c r="C19" s="117" t="s">
        <v>17</v>
      </c>
      <c r="D19" s="117" t="s">
        <v>17</v>
      </c>
      <c r="E19" s="117" t="s">
        <v>17</v>
      </c>
    </row>
    <row r="20" spans="2:5" ht="36" customHeight="1">
      <c r="B20" s="119" t="s">
        <v>18</v>
      </c>
      <c r="C20" s="119" t="s">
        <v>19</v>
      </c>
      <c r="D20" s="119" t="s">
        <v>19</v>
      </c>
      <c r="E20" s="119" t="s">
        <v>19</v>
      </c>
    </row>
    <row r="21" spans="2:5" ht="36" customHeight="1">
      <c r="B21" s="119" t="s">
        <v>20</v>
      </c>
      <c r="C21" s="119" t="s">
        <v>21</v>
      </c>
      <c r="D21" s="119" t="s">
        <v>21</v>
      </c>
      <c r="E21" s="119" t="s">
        <v>21</v>
      </c>
    </row>
    <row r="22" spans="2:5" ht="53.05" customHeight="1">
      <c r="B22" s="119" t="s">
        <v>22</v>
      </c>
      <c r="C22" s="119" t="s">
        <v>23</v>
      </c>
      <c r="D22" s="119" t="s">
        <v>23</v>
      </c>
      <c r="E22" s="119" t="s">
        <v>23</v>
      </c>
    </row>
    <row r="23" spans="2:5" ht="53.05" customHeight="1">
      <c r="B23" s="119" t="s">
        <v>24</v>
      </c>
      <c r="C23" s="119" t="s">
        <v>23</v>
      </c>
      <c r="D23" s="119" t="s">
        <v>23</v>
      </c>
      <c r="E23" s="119" t="s">
        <v>23</v>
      </c>
    </row>
    <row r="24" spans="2:5" ht="18" customHeight="1">
      <c r="B24" s="96"/>
      <c r="C24" s="96"/>
      <c r="D24" s="96"/>
      <c r="E24" s="96"/>
    </row>
    <row r="25" spans="2:5" ht="18" customHeight="1">
      <c r="B25" s="117" t="s">
        <v>25</v>
      </c>
      <c r="C25" s="117" t="s">
        <v>26</v>
      </c>
      <c r="D25" s="117" t="s">
        <v>26</v>
      </c>
      <c r="E25" s="117" t="s">
        <v>26</v>
      </c>
    </row>
    <row r="26" spans="2:5" ht="67" customHeight="1">
      <c r="B26" s="119" t="s">
        <v>27</v>
      </c>
      <c r="C26" s="119" t="s">
        <v>28</v>
      </c>
      <c r="D26" s="119" t="s">
        <v>28</v>
      </c>
      <c r="E26" s="119" t="s">
        <v>28</v>
      </c>
    </row>
    <row r="27" spans="2:5" ht="36" customHeight="1">
      <c r="B27" s="119" t="s">
        <v>29</v>
      </c>
      <c r="C27" s="119" t="s">
        <v>30</v>
      </c>
      <c r="D27" s="119" t="s">
        <v>30</v>
      </c>
      <c r="E27" s="119" t="s">
        <v>30</v>
      </c>
    </row>
    <row r="28" spans="2:5" ht="54" customHeight="1">
      <c r="B28" s="119" t="s">
        <v>31</v>
      </c>
      <c r="C28" s="119" t="s">
        <v>32</v>
      </c>
      <c r="D28" s="119" t="s">
        <v>32</v>
      </c>
      <c r="E28" s="119" t="s">
        <v>32</v>
      </c>
    </row>
    <row r="29" spans="2:5" ht="18" customHeight="1">
      <c r="B29" s="120" t="s">
        <v>33</v>
      </c>
      <c r="C29" s="120"/>
      <c r="D29" s="120"/>
      <c r="E29" s="120"/>
    </row>
    <row r="31" spans="2:5" ht="18" customHeight="1">
      <c r="B31" s="117" t="s">
        <v>34</v>
      </c>
      <c r="C31" s="117" t="s">
        <v>26</v>
      </c>
      <c r="D31" s="117" t="s">
        <v>26</v>
      </c>
      <c r="E31" s="117" t="s">
        <v>26</v>
      </c>
    </row>
    <row r="32" spans="2:5" ht="18" customHeight="1">
      <c r="B32" s="119" t="s">
        <v>35</v>
      </c>
      <c r="C32" s="119" t="s">
        <v>30</v>
      </c>
      <c r="D32" s="119" t="s">
        <v>30</v>
      </c>
      <c r="E32" s="119" t="s">
        <v>30</v>
      </c>
    </row>
    <row r="33" spans="1:26" ht="36" customHeight="1">
      <c r="B33" s="119" t="s">
        <v>32</v>
      </c>
      <c r="C33" s="119" t="s">
        <v>32</v>
      </c>
      <c r="D33" s="119" t="s">
        <v>32</v>
      </c>
      <c r="E33" s="119" t="s">
        <v>32</v>
      </c>
    </row>
    <row r="34" spans="1:26" ht="18" customHeight="1">
      <c r="B34" s="119" t="s">
        <v>36</v>
      </c>
      <c r="C34" s="119" t="s">
        <v>36</v>
      </c>
      <c r="D34" s="119" t="s">
        <v>36</v>
      </c>
      <c r="E34" s="119" t="s">
        <v>36</v>
      </c>
    </row>
    <row r="36" spans="1:26" ht="18" customHeight="1">
      <c r="B36" s="117" t="s">
        <v>37</v>
      </c>
      <c r="C36" s="117" t="s">
        <v>37</v>
      </c>
      <c r="D36" s="117" t="s">
        <v>37</v>
      </c>
      <c r="E36" s="117" t="s">
        <v>37</v>
      </c>
    </row>
    <row r="37" spans="1:26" ht="36" customHeight="1">
      <c r="B37" s="119" t="s">
        <v>38</v>
      </c>
      <c r="C37" s="119" t="s">
        <v>38</v>
      </c>
      <c r="D37" s="119" t="s">
        <v>38</v>
      </c>
      <c r="E37" s="119" t="s">
        <v>38</v>
      </c>
    </row>
    <row r="38" spans="1:26" ht="18" customHeight="1">
      <c r="B38" s="122" t="s">
        <v>39</v>
      </c>
      <c r="C38" s="123"/>
      <c r="D38" s="123"/>
      <c r="E38" s="123"/>
    </row>
    <row r="40" spans="1:26" ht="18" customHeight="1">
      <c r="B40" s="117" t="s">
        <v>40</v>
      </c>
      <c r="C40" s="117" t="s">
        <v>40</v>
      </c>
      <c r="D40" s="117" t="s">
        <v>40</v>
      </c>
      <c r="E40" s="117" t="s">
        <v>40</v>
      </c>
    </row>
    <row r="41" spans="1:26" ht="50.05" customHeight="1">
      <c r="B41" s="120" t="s">
        <v>41</v>
      </c>
      <c r="C41" s="120"/>
      <c r="D41" s="120"/>
      <c r="E41" s="120"/>
    </row>
    <row r="42" spans="1:26" ht="50.05" customHeight="1">
      <c r="B42" s="120" t="s">
        <v>42</v>
      </c>
      <c r="C42" s="120"/>
      <c r="D42" s="120"/>
      <c r="E42" s="120"/>
    </row>
    <row r="43" spans="1:26" ht="50.05" customHeight="1">
      <c r="B43" s="120" t="s">
        <v>43</v>
      </c>
      <c r="C43" s="120"/>
      <c r="D43" s="120"/>
      <c r="E43" s="120"/>
    </row>
    <row r="44" spans="1:26" ht="54" customHeight="1">
      <c r="B44" s="119" t="s">
        <v>44</v>
      </c>
      <c r="C44" s="119" t="s">
        <v>45</v>
      </c>
      <c r="D44" s="119" t="s">
        <v>45</v>
      </c>
      <c r="E44" s="119" t="s">
        <v>45</v>
      </c>
    </row>
    <row r="45" spans="1:26" ht="18" customHeight="1">
      <c r="B45" s="119"/>
      <c r="C45" s="119" t="s">
        <v>46</v>
      </c>
      <c r="D45" s="119" t="s">
        <v>46</v>
      </c>
      <c r="E45" s="119" t="s">
        <v>46</v>
      </c>
    </row>
    <row r="46" spans="1:26" s="95" customFormat="1" ht="15">
      <c r="A46" s="97"/>
      <c r="B46" s="98" t="s">
        <v>47</v>
      </c>
      <c r="C46" s="99" t="s">
        <v>48</v>
      </c>
      <c r="D46" s="98"/>
      <c r="E46" s="100"/>
      <c r="F46" s="101"/>
      <c r="H46" s="100"/>
      <c r="I46" s="100"/>
      <c r="J46" s="100"/>
      <c r="K46" s="100"/>
      <c r="L46" s="97"/>
      <c r="M46" s="97"/>
      <c r="N46" s="97"/>
      <c r="O46" s="97"/>
      <c r="P46" s="97"/>
      <c r="Q46" s="97"/>
      <c r="R46" s="97"/>
      <c r="S46" s="97"/>
      <c r="T46" s="97"/>
      <c r="U46" s="97"/>
      <c r="V46" s="97"/>
      <c r="W46" s="97"/>
      <c r="X46" s="97"/>
      <c r="Y46" s="97"/>
      <c r="Z46" s="97"/>
    </row>
    <row r="47" spans="1:26" s="95" customFormat="1" ht="14.15">
      <c r="A47" s="97"/>
      <c r="B47" s="102" t="s">
        <v>49</v>
      </c>
      <c r="C47" s="102">
        <v>1</v>
      </c>
      <c r="D47" s="102"/>
      <c r="E47" s="100"/>
      <c r="F47" s="101"/>
      <c r="H47" s="100"/>
      <c r="I47" s="100"/>
      <c r="J47" s="100"/>
      <c r="K47" s="100"/>
      <c r="L47" s="97"/>
      <c r="M47" s="97"/>
      <c r="N47" s="97"/>
      <c r="O47" s="97"/>
      <c r="P47" s="97"/>
      <c r="Q47" s="97"/>
      <c r="R47" s="97"/>
      <c r="S47" s="97"/>
      <c r="T47" s="97"/>
      <c r="U47" s="97"/>
      <c r="V47" s="97"/>
      <c r="W47" s="97"/>
      <c r="X47" s="97"/>
      <c r="Y47" s="97"/>
      <c r="Z47" s="97"/>
    </row>
    <row r="48" spans="1:26" s="95" customFormat="1" ht="14.15">
      <c r="A48" s="97"/>
      <c r="B48" s="102" t="s">
        <v>50</v>
      </c>
      <c r="C48" s="102">
        <v>28</v>
      </c>
      <c r="D48" s="102"/>
      <c r="E48" s="103"/>
      <c r="F48" s="97"/>
      <c r="I48" s="97"/>
      <c r="J48" s="97"/>
      <c r="K48" s="97"/>
      <c r="L48" s="97"/>
      <c r="M48" s="97"/>
      <c r="N48" s="97"/>
      <c r="O48" s="104"/>
      <c r="P48" s="97"/>
      <c r="Q48" s="97"/>
      <c r="R48" s="97"/>
      <c r="S48" s="97"/>
      <c r="T48" s="97"/>
      <c r="U48" s="97"/>
      <c r="V48" s="97"/>
      <c r="W48" s="97"/>
      <c r="X48" s="97"/>
      <c r="Y48" s="97"/>
      <c r="Z48" s="97"/>
    </row>
    <row r="49" spans="1:26" s="95" customFormat="1" ht="14.15">
      <c r="A49" s="97"/>
      <c r="B49" s="102" t="s">
        <v>51</v>
      </c>
      <c r="C49" s="102">
        <v>265</v>
      </c>
      <c r="D49" s="102"/>
      <c r="E49" s="97"/>
      <c r="F49" s="97"/>
      <c r="G49" s="97"/>
      <c r="H49" s="97"/>
      <c r="I49" s="97"/>
      <c r="J49" s="97"/>
      <c r="K49" s="97"/>
      <c r="L49" s="97"/>
      <c r="M49" s="97"/>
      <c r="N49" s="105"/>
      <c r="O49" s="105"/>
      <c r="P49" s="97"/>
      <c r="Q49" s="97"/>
      <c r="R49" s="97"/>
      <c r="S49" s="97"/>
      <c r="T49" s="97"/>
      <c r="U49" s="97"/>
      <c r="V49" s="97"/>
      <c r="W49" s="97"/>
      <c r="X49" s="97"/>
      <c r="Y49" s="97"/>
      <c r="Z49" s="97"/>
    </row>
    <row r="50" spans="1:26" s="95" customFormat="1" ht="14.15">
      <c r="A50" s="97"/>
      <c r="B50" s="102" t="s">
        <v>52</v>
      </c>
      <c r="C50" s="102">
        <v>23500</v>
      </c>
      <c r="D50" s="102"/>
      <c r="E50" s="97"/>
      <c r="F50" s="97"/>
      <c r="G50" s="97"/>
      <c r="H50" s="97"/>
      <c r="I50" s="97"/>
      <c r="J50" s="97"/>
      <c r="K50" s="97"/>
      <c r="L50" s="97"/>
      <c r="M50" s="97"/>
      <c r="N50" s="105"/>
      <c r="O50" s="105"/>
      <c r="P50" s="97"/>
      <c r="Q50" s="97"/>
      <c r="R50" s="97"/>
      <c r="S50" s="97"/>
      <c r="T50" s="97"/>
      <c r="U50" s="97"/>
      <c r="V50" s="97"/>
      <c r="W50" s="97"/>
      <c r="X50" s="97"/>
      <c r="Y50" s="97"/>
      <c r="Z50" s="97"/>
    </row>
    <row r="51" spans="1:26" s="95" customFormat="1" ht="14.15">
      <c r="A51" s="97"/>
      <c r="B51" s="106" t="s">
        <v>53</v>
      </c>
      <c r="C51" s="106">
        <v>16100</v>
      </c>
      <c r="D51" s="106"/>
      <c r="E51" s="97"/>
      <c r="F51" s="97"/>
      <c r="G51" s="97"/>
      <c r="H51" s="97"/>
      <c r="I51" s="97"/>
      <c r="J51" s="97"/>
      <c r="K51" s="97"/>
      <c r="L51" s="97"/>
      <c r="M51" s="97"/>
      <c r="N51" s="105"/>
      <c r="O51" s="105"/>
      <c r="P51" s="97"/>
      <c r="Q51" s="97"/>
      <c r="R51" s="97"/>
      <c r="S51" s="97"/>
      <c r="T51" s="97"/>
      <c r="U51" s="97"/>
      <c r="V51" s="97"/>
      <c r="W51" s="97"/>
      <c r="X51" s="97"/>
      <c r="Y51" s="97"/>
      <c r="Z51" s="97"/>
    </row>
    <row r="52" spans="1:26" s="95" customFormat="1" ht="60" customHeight="1">
      <c r="A52" s="97"/>
      <c r="B52" s="121" t="s">
        <v>54</v>
      </c>
      <c r="C52" s="121"/>
      <c r="D52" s="121"/>
      <c r="E52" s="107"/>
      <c r="F52" s="107"/>
      <c r="G52" s="97"/>
      <c r="H52" s="97"/>
      <c r="I52" s="97"/>
      <c r="J52" s="97"/>
      <c r="K52" s="97"/>
      <c r="L52" s="97"/>
      <c r="M52" s="97"/>
      <c r="N52" s="105"/>
      <c r="O52" s="105"/>
      <c r="P52" s="97"/>
      <c r="Q52" s="97"/>
      <c r="R52" s="97"/>
      <c r="S52" s="97"/>
      <c r="T52" s="97"/>
      <c r="U52" s="97"/>
      <c r="V52" s="97"/>
      <c r="W52" s="97"/>
      <c r="X52" s="97"/>
      <c r="Y52" s="97"/>
      <c r="Z52" s="97"/>
    </row>
    <row r="54" spans="1:26" ht="18" customHeight="1">
      <c r="B54" s="117" t="s">
        <v>55</v>
      </c>
      <c r="C54" s="117" t="s">
        <v>56</v>
      </c>
      <c r="D54" s="117" t="s">
        <v>56</v>
      </c>
      <c r="E54" s="117" t="s">
        <v>56</v>
      </c>
    </row>
    <row r="55" spans="1:26" ht="31" customHeight="1">
      <c r="B55" s="118" t="s">
        <v>57</v>
      </c>
      <c r="C55" s="119" t="s">
        <v>58</v>
      </c>
      <c r="D55" s="119" t="s">
        <v>58</v>
      </c>
      <c r="E55" s="119" t="s">
        <v>58</v>
      </c>
    </row>
    <row r="56" spans="1:26" ht="51" customHeight="1">
      <c r="B56" s="119" t="s">
        <v>59</v>
      </c>
      <c r="C56" s="119" t="s">
        <v>60</v>
      </c>
      <c r="D56" s="119" t="s">
        <v>60</v>
      </c>
      <c r="E56" s="119" t="s">
        <v>60</v>
      </c>
    </row>
    <row r="57" spans="1:26" ht="18" customHeight="1">
      <c r="B57" s="96"/>
      <c r="C57" s="96"/>
      <c r="D57" s="96"/>
      <c r="E57" s="96"/>
    </row>
    <row r="58" spans="1:26" ht="18" customHeight="1">
      <c r="B58" s="96"/>
      <c r="C58" s="96"/>
      <c r="D58" s="96"/>
      <c r="E58" s="96"/>
    </row>
    <row r="59" spans="1:26" ht="18" customHeight="1">
      <c r="B59" s="117" t="s">
        <v>61</v>
      </c>
      <c r="C59" s="117"/>
      <c r="D59" s="117"/>
      <c r="E59" s="117"/>
    </row>
    <row r="60" spans="1:26" ht="36" customHeight="1">
      <c r="B60" s="118" t="s">
        <v>62</v>
      </c>
      <c r="C60" s="119" t="s">
        <v>63</v>
      </c>
      <c r="D60" s="119" t="s">
        <v>63</v>
      </c>
      <c r="E60" s="119" t="s">
        <v>63</v>
      </c>
    </row>
  </sheetData>
  <mergeCells count="40">
    <mergeCell ref="B2:E2"/>
    <mergeCell ref="B3:E3"/>
    <mergeCell ref="B4:E4"/>
    <mergeCell ref="B9:E9"/>
    <mergeCell ref="B10:E10"/>
    <mergeCell ref="B11:E11"/>
    <mergeCell ref="B12:E12"/>
    <mergeCell ref="B14:E14"/>
    <mergeCell ref="B15:E15"/>
    <mergeCell ref="B16:E16"/>
    <mergeCell ref="B17:E17"/>
    <mergeCell ref="B19:E19"/>
    <mergeCell ref="B20:E20"/>
    <mergeCell ref="B21:E21"/>
    <mergeCell ref="B22:E22"/>
    <mergeCell ref="B23:E23"/>
    <mergeCell ref="B25:E25"/>
    <mergeCell ref="B26:E26"/>
    <mergeCell ref="B27:E27"/>
    <mergeCell ref="B28:E28"/>
    <mergeCell ref="B29:E29"/>
    <mergeCell ref="B31:E31"/>
    <mergeCell ref="B32:E32"/>
    <mergeCell ref="B33:E33"/>
    <mergeCell ref="B34:E34"/>
    <mergeCell ref="B36:E36"/>
    <mergeCell ref="B37:E37"/>
    <mergeCell ref="B38:E38"/>
    <mergeCell ref="B40:E40"/>
    <mergeCell ref="B41:E41"/>
    <mergeCell ref="B42:E42"/>
    <mergeCell ref="B43:E43"/>
    <mergeCell ref="B44:E44"/>
    <mergeCell ref="B45:E45"/>
    <mergeCell ref="B52:D52"/>
    <mergeCell ref="B54:E54"/>
    <mergeCell ref="B55:E55"/>
    <mergeCell ref="B56:E56"/>
    <mergeCell ref="B59:E59"/>
    <mergeCell ref="B60:E60"/>
  </mergeCells>
  <phoneticPr fontId="40" type="noConversion"/>
  <pageMargins left="0.7" right="0.7" top="0.75" bottom="0.75" header="0.3" footer="0.3"/>
  <headerFooter>
    <oddFooter>&amp;L_x000D_&amp;1#&amp;"Aptos"&amp;10&amp;K000000 NSF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FA58"/>
  <sheetViews>
    <sheetView zoomScale="80" zoomScaleNormal="80" workbookViewId="0"/>
  </sheetViews>
  <sheetFormatPr defaultColWidth="9" defaultRowHeight="18" customHeight="1"/>
  <cols>
    <col min="1" max="1" width="3.61328125" style="78" customWidth="1"/>
    <col min="2" max="2" width="26" style="78" customWidth="1"/>
    <col min="3" max="3" width="53.53515625" style="78" customWidth="1"/>
    <col min="4" max="4" width="44" style="78" customWidth="1"/>
    <col min="5" max="16384" width="9" style="78"/>
  </cols>
  <sheetData>
    <row r="1" spans="2:4" s="22" customFormat="1" ht="18" customHeight="1"/>
    <row r="2" spans="2:4" s="22" customFormat="1" ht="36" customHeight="1">
      <c r="B2" s="125" t="s">
        <v>64</v>
      </c>
      <c r="C2" s="125"/>
      <c r="D2" s="125"/>
    </row>
    <row r="3" spans="2:4" s="22" customFormat="1" ht="18" customHeight="1">
      <c r="B3" s="113"/>
      <c r="C3" s="113"/>
      <c r="D3" s="113"/>
    </row>
    <row r="4" spans="2:4" s="77" customFormat="1" ht="18" customHeight="1">
      <c r="B4" s="115" t="s">
        <v>65</v>
      </c>
      <c r="C4" s="115"/>
      <c r="D4" s="115"/>
    </row>
    <row r="6" spans="2:4" ht="18" customHeight="1">
      <c r="B6" s="117" t="s">
        <v>66</v>
      </c>
      <c r="C6" s="117" t="s">
        <v>67</v>
      </c>
      <c r="D6" s="117" t="s">
        <v>67</v>
      </c>
    </row>
    <row r="7" spans="2:4" ht="18" customHeight="1">
      <c r="B7" s="79" t="s">
        <v>68</v>
      </c>
      <c r="C7" s="124" t="s">
        <v>69</v>
      </c>
      <c r="D7" s="124"/>
    </row>
    <row r="8" spans="2:4" ht="18" customHeight="1">
      <c r="B8" s="79" t="s">
        <v>65</v>
      </c>
      <c r="C8" s="124" t="s">
        <v>70</v>
      </c>
      <c r="D8" s="124"/>
    </row>
    <row r="10" spans="2:4" ht="18" customHeight="1">
      <c r="B10" s="117" t="s">
        <v>71</v>
      </c>
      <c r="C10" s="117" t="s">
        <v>67</v>
      </c>
      <c r="D10" s="117" t="s">
        <v>67</v>
      </c>
    </row>
    <row r="11" spans="2:4" ht="18" customHeight="1">
      <c r="B11" s="81" t="s">
        <v>72</v>
      </c>
      <c r="C11" s="81" t="s">
        <v>73</v>
      </c>
      <c r="D11" s="81" t="s">
        <v>74</v>
      </c>
    </row>
    <row r="12" spans="2:4" ht="49" customHeight="1">
      <c r="B12" s="80" t="s">
        <v>75</v>
      </c>
      <c r="C12" s="80" t="s">
        <v>76</v>
      </c>
      <c r="D12" s="80"/>
    </row>
    <row r="13" spans="2:4" ht="45" customHeight="1">
      <c r="B13" s="80" t="s">
        <v>77</v>
      </c>
      <c r="C13" s="80" t="s">
        <v>78</v>
      </c>
      <c r="D13" s="80"/>
    </row>
    <row r="14" spans="2:4" ht="36" customHeight="1">
      <c r="B14" s="80" t="s">
        <v>79</v>
      </c>
      <c r="C14" s="80"/>
      <c r="D14" s="80"/>
    </row>
    <row r="15" spans="2:4" ht="36" customHeight="1">
      <c r="B15" s="80" t="s">
        <v>80</v>
      </c>
      <c r="C15" s="80" t="s">
        <v>81</v>
      </c>
      <c r="D15" s="80"/>
    </row>
    <row r="16" spans="2:4" ht="18" customHeight="1">
      <c r="B16" s="82"/>
      <c r="C16" s="82"/>
      <c r="D16" s="80"/>
    </row>
    <row r="17" spans="2:6" ht="18" customHeight="1">
      <c r="B17" s="117" t="s">
        <v>82</v>
      </c>
      <c r="C17" s="117" t="s">
        <v>67</v>
      </c>
      <c r="D17" s="117" t="s">
        <v>67</v>
      </c>
    </row>
    <row r="18" spans="2:6" ht="18" customHeight="1">
      <c r="B18" s="81" t="s">
        <v>72</v>
      </c>
      <c r="C18" s="81" t="s">
        <v>73</v>
      </c>
      <c r="D18" s="81" t="s">
        <v>74</v>
      </c>
    </row>
    <row r="19" spans="2:6" ht="44.05" customHeight="1">
      <c r="B19" s="80" t="s">
        <v>83</v>
      </c>
      <c r="C19" s="80" t="s">
        <v>84</v>
      </c>
    </row>
    <row r="20" spans="2:6" ht="50.05" customHeight="1">
      <c r="B20" s="80" t="s">
        <v>85</v>
      </c>
      <c r="C20" s="80" t="s">
        <v>86</v>
      </c>
    </row>
    <row r="21" spans="2:6" ht="18" customHeight="1">
      <c r="B21" s="82"/>
      <c r="C21" s="82"/>
      <c r="D21" s="80"/>
    </row>
    <row r="22" spans="2:6" ht="18" customHeight="1">
      <c r="B22" s="82"/>
      <c r="C22" s="82"/>
      <c r="D22" s="80"/>
    </row>
    <row r="23" spans="2:6" ht="18" customHeight="1">
      <c r="B23" s="117" t="s">
        <v>87</v>
      </c>
      <c r="C23" s="117" t="s">
        <v>67</v>
      </c>
      <c r="D23" s="117" t="s">
        <v>67</v>
      </c>
    </row>
    <row r="24" spans="2:6" ht="18" customHeight="1">
      <c r="B24" s="81" t="s">
        <v>72</v>
      </c>
      <c r="C24" s="81" t="s">
        <v>73</v>
      </c>
      <c r="D24" s="81" t="s">
        <v>74</v>
      </c>
    </row>
    <row r="25" spans="2:6" ht="47.05" customHeight="1">
      <c r="B25" s="80" t="s">
        <v>88</v>
      </c>
      <c r="C25" s="80" t="s">
        <v>89</v>
      </c>
    </row>
    <row r="26" spans="2:6" ht="36" customHeight="1">
      <c r="B26" s="80" t="s">
        <v>90</v>
      </c>
      <c r="C26" s="80"/>
    </row>
    <row r="27" spans="2:6" ht="36" customHeight="1">
      <c r="B27" s="80" t="s">
        <v>91</v>
      </c>
      <c r="C27" s="80"/>
    </row>
    <row r="28" spans="2:6" ht="56.05" customHeight="1">
      <c r="B28" s="80" t="s">
        <v>92</v>
      </c>
      <c r="C28" s="80" t="s">
        <v>93</v>
      </c>
    </row>
    <row r="29" spans="2:6" ht="51" customHeight="1">
      <c r="B29" s="80" t="s">
        <v>94</v>
      </c>
      <c r="C29" s="80" t="s">
        <v>95</v>
      </c>
    </row>
    <row r="30" spans="2:6" ht="54" customHeight="1">
      <c r="B30" s="80" t="s">
        <v>96</v>
      </c>
      <c r="C30" s="80" t="s">
        <v>97</v>
      </c>
    </row>
    <row r="31" spans="2:6" ht="18" customHeight="1">
      <c r="B31" s="124"/>
      <c r="C31" s="124"/>
      <c r="D31" s="124"/>
    </row>
    <row r="32" spans="2:6" ht="18" customHeight="1">
      <c r="B32" s="83"/>
      <c r="C32" s="84"/>
      <c r="D32" s="85"/>
      <c r="E32" s="86"/>
      <c r="F32" s="87"/>
    </row>
    <row r="33" spans="2:6" ht="18" customHeight="1">
      <c r="B33" s="88"/>
      <c r="C33" s="88"/>
      <c r="D33" s="88"/>
      <c r="E33" s="86"/>
      <c r="F33" s="86"/>
    </row>
    <row r="34" spans="2:6" ht="18" customHeight="1">
      <c r="B34" s="117" t="s">
        <v>98</v>
      </c>
      <c r="C34" s="117"/>
      <c r="D34" s="117"/>
    </row>
    <row r="35" spans="2:6" ht="18" customHeight="1">
      <c r="B35" s="89" t="s">
        <v>99</v>
      </c>
      <c r="C35" s="90" t="s">
        <v>100</v>
      </c>
      <c r="D35" s="90"/>
    </row>
    <row r="36" spans="2:6" ht="18" customHeight="1">
      <c r="B36" s="91" t="s">
        <v>101</v>
      </c>
      <c r="C36" s="91" t="s">
        <v>102</v>
      </c>
      <c r="D36" s="91"/>
    </row>
    <row r="37" spans="2:6" ht="18" customHeight="1">
      <c r="B37" s="91" t="s">
        <v>103</v>
      </c>
      <c r="C37" s="91" t="s">
        <v>104</v>
      </c>
      <c r="D37" s="91"/>
    </row>
    <row r="38" spans="2:6" ht="18" customHeight="1">
      <c r="B38" s="91" t="s">
        <v>105</v>
      </c>
      <c r="C38" s="91" t="s">
        <v>106</v>
      </c>
      <c r="D38" s="91"/>
    </row>
    <row r="39" spans="2:6" ht="18" customHeight="1">
      <c r="B39" s="91" t="s">
        <v>107</v>
      </c>
      <c r="C39" s="91" t="s">
        <v>108</v>
      </c>
      <c r="D39" s="91"/>
    </row>
    <row r="40" spans="2:6" ht="18" customHeight="1">
      <c r="B40" s="91" t="s">
        <v>109</v>
      </c>
      <c r="C40" s="91" t="s">
        <v>110</v>
      </c>
      <c r="D40" s="91"/>
    </row>
    <row r="41" spans="2:6" ht="18" customHeight="1">
      <c r="B41" s="91" t="s">
        <v>111</v>
      </c>
      <c r="C41" s="91" t="s">
        <v>112</v>
      </c>
      <c r="D41" s="91"/>
    </row>
    <row r="42" spans="2:6" ht="18" customHeight="1">
      <c r="B42" s="91" t="s">
        <v>113</v>
      </c>
      <c r="C42" s="91" t="s">
        <v>114</v>
      </c>
      <c r="D42" s="91"/>
    </row>
    <row r="43" spans="2:6" ht="18" customHeight="1">
      <c r="B43" s="91" t="s">
        <v>115</v>
      </c>
      <c r="C43" s="91" t="s">
        <v>116</v>
      </c>
      <c r="D43" s="91"/>
    </row>
    <row r="44" spans="2:6" ht="18" customHeight="1">
      <c r="B44" s="91" t="s">
        <v>117</v>
      </c>
      <c r="C44" s="91" t="s">
        <v>118</v>
      </c>
      <c r="D44" s="91"/>
    </row>
    <row r="45" spans="2:6" ht="18" customHeight="1">
      <c r="B45" s="91" t="s">
        <v>119</v>
      </c>
      <c r="C45" s="91" t="s">
        <v>120</v>
      </c>
      <c r="D45" s="91"/>
    </row>
    <row r="46" spans="2:6" ht="18" customHeight="1">
      <c r="B46" s="91" t="s">
        <v>121</v>
      </c>
      <c r="C46" s="91" t="s">
        <v>122</v>
      </c>
      <c r="D46" s="91"/>
    </row>
    <row r="47" spans="2:6" ht="18" customHeight="1">
      <c r="B47" s="91" t="s">
        <v>123</v>
      </c>
      <c r="C47" s="91" t="s">
        <v>124</v>
      </c>
      <c r="D47" s="91"/>
    </row>
    <row r="48" spans="2:6" ht="18" customHeight="1">
      <c r="B48" s="91" t="s">
        <v>125</v>
      </c>
      <c r="C48" s="91" t="s">
        <v>126</v>
      </c>
      <c r="D48" s="91"/>
    </row>
    <row r="49" spans="2:4 16379:16381" ht="18" customHeight="1">
      <c r="B49" s="91" t="s">
        <v>127</v>
      </c>
      <c r="C49" s="91" t="s">
        <v>128</v>
      </c>
      <c r="D49" s="91"/>
    </row>
    <row r="50" spans="2:4 16379:16381" ht="18" customHeight="1">
      <c r="B50" s="91" t="s">
        <v>129</v>
      </c>
      <c r="C50" s="91" t="s">
        <v>130</v>
      </c>
      <c r="D50" s="91"/>
    </row>
    <row r="51" spans="2:4 16379:16381" ht="18" customHeight="1">
      <c r="B51" s="91" t="s">
        <v>131</v>
      </c>
      <c r="C51" s="91" t="s">
        <v>132</v>
      </c>
      <c r="D51" s="91"/>
    </row>
    <row r="52" spans="2:4 16379:16381" ht="18" customHeight="1">
      <c r="B52" s="91" t="s">
        <v>133</v>
      </c>
      <c r="C52" s="91" t="s">
        <v>134</v>
      </c>
      <c r="D52" s="91"/>
    </row>
    <row r="53" spans="2:4 16379:16381" ht="18" customHeight="1">
      <c r="B53" s="92" t="s">
        <v>135</v>
      </c>
      <c r="C53" s="93" t="s">
        <v>136</v>
      </c>
      <c r="D53" s="92"/>
    </row>
    <row r="54" spans="2:4 16379:16381" ht="18" customHeight="1">
      <c r="XEY54" s="94"/>
      <c r="XEZ54" s="94"/>
      <c r="XFA54" s="94"/>
    </row>
    <row r="55" spans="2:4 16379:16381" ht="18" customHeight="1">
      <c r="XEY55" s="94"/>
      <c r="XEZ55" s="94"/>
      <c r="XFA55" s="94"/>
    </row>
    <row r="56" spans="2:4 16379:16381" ht="18" customHeight="1">
      <c r="XEY56" s="94"/>
      <c r="XEZ56" s="94"/>
      <c r="XFA56" s="94"/>
    </row>
    <row r="57" spans="2:4 16379:16381" ht="18" customHeight="1">
      <c r="XEY57" s="94"/>
      <c r="XEZ57" s="94"/>
      <c r="XFA57" s="94"/>
    </row>
    <row r="58" spans="2:4 16379:16381" ht="18" customHeight="1">
      <c r="XEY58" s="94"/>
      <c r="XEZ58" s="94"/>
      <c r="XFA58" s="94"/>
    </row>
  </sheetData>
  <mergeCells count="11">
    <mergeCell ref="B2:D2"/>
    <mergeCell ref="B3:D3"/>
    <mergeCell ref="B4:D4"/>
    <mergeCell ref="B6:D6"/>
    <mergeCell ref="C7:D7"/>
    <mergeCell ref="B34:D34"/>
    <mergeCell ref="C8:D8"/>
    <mergeCell ref="B10:D10"/>
    <mergeCell ref="B17:D17"/>
    <mergeCell ref="B23:D23"/>
    <mergeCell ref="B31:D31"/>
  </mergeCells>
  <phoneticPr fontId="40" type="noConversion"/>
  <hyperlinks>
    <hyperlink ref="B7" location="基本信息!A1" display="基本信息" xr:uid="{00000000-0004-0000-0100-000000000000}"/>
    <hyperlink ref="B8" location="导航目录!A1" display="导航目录" xr:uid="{00000000-0004-0000-0100-000001000000}"/>
  </hyperlinks>
  <pageMargins left="0.7" right="0.7" top="0.75" bottom="0.75" header="0.3" footer="0.3"/>
  <headerFooter>
    <oddFooter>&amp;L_x000D_&amp;1#&amp;"Aptos"&amp;10&amp;K000000 NSF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XFB250"/>
  <sheetViews>
    <sheetView zoomScale="80" zoomScaleNormal="80" workbookViewId="0"/>
  </sheetViews>
  <sheetFormatPr defaultColWidth="9" defaultRowHeight="18" customHeight="1"/>
  <cols>
    <col min="1" max="1" width="3.61328125" style="22" customWidth="1"/>
    <col min="2" max="2" width="18" style="22" customWidth="1"/>
    <col min="3" max="3" width="38" style="22" customWidth="1"/>
    <col min="4" max="4" width="18" style="22" customWidth="1"/>
    <col min="5" max="5" width="42" style="25" customWidth="1"/>
    <col min="6" max="6" width="18.3046875" style="25" customWidth="1"/>
    <col min="7" max="7" width="13.84375" style="25" customWidth="1"/>
    <col min="8" max="8" width="12.765625" style="25" customWidth="1"/>
    <col min="9" max="9" width="17.3828125" style="22" customWidth="1"/>
    <col min="10" max="10" width="19.3828125" style="22" customWidth="1"/>
    <col min="11" max="13" width="25.15234375" style="22" customWidth="1"/>
    <col min="14" max="16380" width="9" style="22"/>
    <col min="16383" max="16384" width="9" style="22"/>
  </cols>
  <sheetData>
    <row r="1" spans="2:10 16381:16382" ht="18" customHeight="1">
      <c r="E1" s="22"/>
      <c r="F1" s="22"/>
      <c r="G1" s="22"/>
      <c r="H1" s="22"/>
      <c r="J1" s="27"/>
      <c r="XFA1" s="22"/>
      <c r="XFB1" s="22"/>
    </row>
    <row r="2" spans="2:10 16381:16382" ht="36" customHeight="1">
      <c r="B2" s="111" t="s">
        <v>137</v>
      </c>
      <c r="C2" s="111"/>
      <c r="D2" s="111"/>
      <c r="E2" s="111"/>
      <c r="F2" s="111"/>
      <c r="G2" s="111"/>
      <c r="H2" s="111"/>
      <c r="I2" s="111"/>
      <c r="J2" s="111"/>
      <c r="XFA2" s="22"/>
      <c r="XFB2" s="22"/>
    </row>
    <row r="3" spans="2:10 16381:16382" ht="18" customHeight="1">
      <c r="B3" s="113"/>
      <c r="C3" s="113"/>
      <c r="D3" s="113"/>
      <c r="E3" s="113"/>
      <c r="F3" s="22"/>
      <c r="G3" s="22"/>
      <c r="H3" s="22"/>
      <c r="XFA3" s="22"/>
      <c r="XFB3" s="22"/>
    </row>
    <row r="4" spans="2:10 16381:16382" ht="18" customHeight="1">
      <c r="B4" s="115" t="s">
        <v>68</v>
      </c>
      <c r="C4" s="115"/>
      <c r="D4" s="115"/>
      <c r="E4" s="115"/>
      <c r="F4" s="117"/>
      <c r="G4" s="117"/>
      <c r="H4" s="117"/>
      <c r="I4" s="117"/>
      <c r="J4" s="117"/>
      <c r="XFA4" s="22"/>
      <c r="XFB4" s="22"/>
    </row>
    <row r="5" spans="2:10 16381:16382" ht="18" customHeight="1">
      <c r="E5" s="22"/>
      <c r="F5" s="22"/>
      <c r="G5" s="22"/>
      <c r="H5" s="22"/>
      <c r="XFA5" s="22"/>
      <c r="XFB5" s="22"/>
    </row>
    <row r="6" spans="2:10 16381:16382" ht="36" customHeight="1">
      <c r="B6" s="30" t="s">
        <v>2</v>
      </c>
      <c r="C6" s="31" t="s">
        <v>3</v>
      </c>
      <c r="D6" s="30" t="s">
        <v>138</v>
      </c>
      <c r="E6" s="31" t="s">
        <v>139</v>
      </c>
      <c r="F6" s="22"/>
      <c r="G6" s="22"/>
      <c r="H6" s="22"/>
      <c r="XFA6" s="22"/>
      <c r="XFB6" s="22"/>
    </row>
    <row r="7" spans="2:10 16381:16382" ht="50.05" customHeight="1">
      <c r="B7" s="30" t="s">
        <v>140</v>
      </c>
      <c r="C7" s="31" t="s">
        <v>141</v>
      </c>
      <c r="D7" s="30" t="s">
        <v>142</v>
      </c>
      <c r="E7" s="31" t="s">
        <v>143</v>
      </c>
      <c r="F7" s="22"/>
      <c r="G7" s="22"/>
      <c r="H7" s="22"/>
      <c r="XFA7" s="22"/>
      <c r="XFB7" s="22"/>
    </row>
    <row r="8" spans="2:10 16381:16382" ht="18" customHeight="1">
      <c r="E8" s="22"/>
      <c r="F8" s="22"/>
      <c r="G8" s="22"/>
      <c r="H8" s="22"/>
      <c r="XFA8" s="22"/>
      <c r="XFB8" s="22"/>
    </row>
    <row r="9" spans="2:10 16381:16382" ht="18" customHeight="1">
      <c r="B9" s="115" t="s">
        <v>144</v>
      </c>
      <c r="C9" s="115" t="s">
        <v>7</v>
      </c>
      <c r="D9" s="115" t="s">
        <v>7</v>
      </c>
      <c r="E9" s="115" t="s">
        <v>7</v>
      </c>
      <c r="F9" s="117"/>
      <c r="G9" s="117"/>
      <c r="H9" s="117"/>
      <c r="I9" s="117"/>
      <c r="J9" s="117"/>
      <c r="XFA9" s="22"/>
      <c r="XFB9" s="22"/>
    </row>
    <row r="10" spans="2:10 16381:16382" ht="18" customHeight="1">
      <c r="E10" s="22"/>
      <c r="F10" s="22"/>
      <c r="G10" s="22"/>
      <c r="H10" s="22"/>
      <c r="XFA10" s="22"/>
      <c r="XFB10" s="22"/>
    </row>
    <row r="11" spans="2:10 16381:16382" s="23" customFormat="1" ht="18" customHeight="1">
      <c r="B11" s="32" t="s">
        <v>145</v>
      </c>
      <c r="C11" s="33" t="s">
        <v>146</v>
      </c>
      <c r="D11" s="34" t="s">
        <v>147</v>
      </c>
      <c r="E11" s="69" t="s">
        <v>148</v>
      </c>
      <c r="F11" s="58" t="s">
        <v>149</v>
      </c>
      <c r="G11" s="58" t="s">
        <v>150</v>
      </c>
      <c r="H11" s="58" t="s">
        <v>151</v>
      </c>
      <c r="I11" s="32" t="s">
        <v>152</v>
      </c>
      <c r="J11" s="32" t="s">
        <v>153</v>
      </c>
      <c r="XFA11" s="35"/>
      <c r="XFB11" s="35"/>
    </row>
    <row r="12" spans="2:10 16381:16382" ht="18" customHeight="1">
      <c r="B12" s="36" t="s">
        <v>154</v>
      </c>
      <c r="C12" s="36" t="s">
        <v>155</v>
      </c>
      <c r="D12" s="37" t="s">
        <v>156</v>
      </c>
      <c r="E12" s="39">
        <f t="shared" ref="E12:E75" si="0">F12+G12*28+H12*265</f>
        <v>96625.5</v>
      </c>
      <c r="F12" s="39">
        <v>96200</v>
      </c>
      <c r="G12" s="39">
        <v>1</v>
      </c>
      <c r="H12" s="39">
        <v>1.5</v>
      </c>
      <c r="I12" s="36"/>
      <c r="J12" s="36"/>
      <c r="XFA12" s="22"/>
      <c r="XFB12" s="22"/>
    </row>
    <row r="13" spans="2:10 16381:16382" ht="18" customHeight="1">
      <c r="B13" s="49" t="s">
        <v>154</v>
      </c>
      <c r="C13" s="49" t="s">
        <v>155</v>
      </c>
      <c r="D13" s="50" t="s">
        <v>157</v>
      </c>
      <c r="E13" s="70">
        <f t="shared" si="0"/>
        <v>1704.4738199999999</v>
      </c>
      <c r="F13" s="70">
        <v>1696.9680000000001</v>
      </c>
      <c r="G13" s="70">
        <v>1.7639999999999999E-2</v>
      </c>
      <c r="H13" s="70">
        <v>2.6460000000000001E-2</v>
      </c>
      <c r="I13" s="49"/>
      <c r="J13" s="49"/>
      <c r="XFA13" s="22"/>
      <c r="XFB13" s="22"/>
    </row>
    <row r="14" spans="2:10 16381:16382" ht="18" customHeight="1">
      <c r="B14" s="49" t="s">
        <v>154</v>
      </c>
      <c r="C14" s="49" t="s">
        <v>158</v>
      </c>
      <c r="D14" s="50" t="s">
        <v>156</v>
      </c>
      <c r="E14" s="70">
        <f t="shared" si="0"/>
        <v>98725.5</v>
      </c>
      <c r="F14" s="70">
        <v>98300</v>
      </c>
      <c r="G14" s="70">
        <v>1</v>
      </c>
      <c r="H14" s="70">
        <v>1.5</v>
      </c>
      <c r="I14" s="49"/>
      <c r="J14" s="49"/>
      <c r="XFA14" s="22"/>
      <c r="XFB14" s="22"/>
    </row>
    <row r="15" spans="2:10 16381:16382" ht="18" customHeight="1">
      <c r="B15" s="49" t="s">
        <v>154</v>
      </c>
      <c r="C15" s="49" t="s">
        <v>158</v>
      </c>
      <c r="D15" s="50" t="s">
        <v>157</v>
      </c>
      <c r="E15" s="70">
        <f t="shared" si="0"/>
        <v>2635.9708500000002</v>
      </c>
      <c r="F15" s="70">
        <v>2624.61</v>
      </c>
      <c r="G15" s="70">
        <v>2.6700000000000002E-2</v>
      </c>
      <c r="H15" s="70">
        <v>4.0050000000000002E-2</v>
      </c>
      <c r="I15" s="49"/>
      <c r="J15" s="49"/>
      <c r="XFA15" s="22"/>
      <c r="XFB15" s="22"/>
    </row>
    <row r="16" spans="2:10 16381:16382" ht="18" customHeight="1">
      <c r="B16" s="49" t="s">
        <v>154</v>
      </c>
      <c r="C16" s="49" t="s">
        <v>159</v>
      </c>
      <c r="D16" s="50" t="s">
        <v>156</v>
      </c>
      <c r="E16" s="70">
        <f t="shared" si="0"/>
        <v>95025.5</v>
      </c>
      <c r="F16" s="70">
        <v>94600</v>
      </c>
      <c r="G16" s="70">
        <v>1</v>
      </c>
      <c r="H16" s="70">
        <v>1.5</v>
      </c>
      <c r="I16" s="49"/>
      <c r="J16" s="49"/>
      <c r="XFA16" s="22"/>
      <c r="XFB16" s="22"/>
    </row>
    <row r="17" spans="2:10" s="22" customFormat="1" ht="18" customHeight="1">
      <c r="B17" s="49" t="s">
        <v>154</v>
      </c>
      <c r="C17" s="49" t="s">
        <v>159</v>
      </c>
      <c r="D17" s="50" t="s">
        <v>157</v>
      </c>
      <c r="E17" s="70">
        <f t="shared" si="0"/>
        <v>2503.351772</v>
      </c>
      <c r="F17" s="70">
        <v>2492.1424000000002</v>
      </c>
      <c r="G17" s="70">
        <v>2.6343999999999999E-2</v>
      </c>
      <c r="H17" s="70">
        <v>3.9516000000000003E-2</v>
      </c>
      <c r="I17" s="49"/>
      <c r="J17" s="49"/>
    </row>
    <row r="18" spans="2:10" s="22" customFormat="1" ht="18" customHeight="1">
      <c r="B18" s="49" t="s">
        <v>154</v>
      </c>
      <c r="C18" s="49" t="s">
        <v>160</v>
      </c>
      <c r="D18" s="50" t="s">
        <v>156</v>
      </c>
      <c r="E18" s="70">
        <f t="shared" si="0"/>
        <v>95025.5</v>
      </c>
      <c r="F18" s="70">
        <v>94600</v>
      </c>
      <c r="G18" s="70">
        <v>1</v>
      </c>
      <c r="H18" s="70">
        <v>1.5</v>
      </c>
      <c r="I18" s="49"/>
      <c r="J18" s="49"/>
    </row>
    <row r="19" spans="2:10" s="22" customFormat="1" ht="18" customHeight="1">
      <c r="B19" s="49" t="s">
        <v>154</v>
      </c>
      <c r="C19" s="49" t="s">
        <v>160</v>
      </c>
      <c r="D19" s="50" t="s">
        <v>157</v>
      </c>
      <c r="E19" s="70">
        <f t="shared" si="0"/>
        <v>1859.6490349999999</v>
      </c>
      <c r="F19" s="70">
        <v>1851.3219999999999</v>
      </c>
      <c r="G19" s="70">
        <v>1.9570000000000001E-2</v>
      </c>
      <c r="H19" s="70">
        <v>2.9354999999999999E-2</v>
      </c>
      <c r="I19" s="49"/>
      <c r="J19" s="49"/>
    </row>
    <row r="20" spans="2:10" s="22" customFormat="1" ht="18" customHeight="1">
      <c r="B20" s="49" t="s">
        <v>154</v>
      </c>
      <c r="C20" s="49" t="s">
        <v>161</v>
      </c>
      <c r="D20" s="50" t="s">
        <v>156</v>
      </c>
      <c r="E20" s="70">
        <f t="shared" si="0"/>
        <v>101625.5</v>
      </c>
      <c r="F20" s="70">
        <v>101200</v>
      </c>
      <c r="G20" s="70">
        <v>1</v>
      </c>
      <c r="H20" s="70">
        <v>1.5</v>
      </c>
      <c r="I20" s="49"/>
      <c r="J20" s="49"/>
    </row>
    <row r="21" spans="2:10" s="22" customFormat="1" ht="18" customHeight="1">
      <c r="B21" s="49" t="s">
        <v>154</v>
      </c>
      <c r="C21" s="49" t="s">
        <v>161</v>
      </c>
      <c r="D21" s="50" t="s">
        <v>157</v>
      </c>
      <c r="E21" s="70">
        <f t="shared" si="0"/>
        <v>1209.3434500000001</v>
      </c>
      <c r="F21" s="70">
        <v>1204.28</v>
      </c>
      <c r="G21" s="70">
        <v>1.1900000000000001E-2</v>
      </c>
      <c r="H21" s="70">
        <v>1.7850000000000001E-2</v>
      </c>
      <c r="I21" s="49"/>
      <c r="J21" s="49"/>
    </row>
    <row r="22" spans="2:10" ht="18" customHeight="1">
      <c r="B22" s="49" t="s">
        <v>154</v>
      </c>
      <c r="C22" s="49" t="s">
        <v>162</v>
      </c>
      <c r="D22" s="50" t="s">
        <v>156</v>
      </c>
      <c r="E22" s="70">
        <f t="shared" si="0"/>
        <v>97925.5</v>
      </c>
      <c r="F22" s="70">
        <v>97500</v>
      </c>
      <c r="G22" s="70">
        <v>1</v>
      </c>
      <c r="H22" s="70">
        <v>1.5</v>
      </c>
      <c r="I22" s="49"/>
      <c r="J22" s="49"/>
    </row>
    <row r="23" spans="2:10" ht="18" customHeight="1">
      <c r="B23" s="49" t="s">
        <v>154</v>
      </c>
      <c r="C23" s="49" t="s">
        <v>162</v>
      </c>
      <c r="D23" s="50" t="s">
        <v>157</v>
      </c>
      <c r="E23" s="70">
        <f t="shared" si="0"/>
        <v>1709.7792300000001</v>
      </c>
      <c r="F23" s="70">
        <v>1702.35</v>
      </c>
      <c r="G23" s="70">
        <v>1.746E-2</v>
      </c>
      <c r="H23" s="70">
        <v>2.6190000000000001E-2</v>
      </c>
      <c r="I23" s="49"/>
      <c r="J23" s="49"/>
    </row>
    <row r="24" spans="2:10" ht="18" customHeight="1">
      <c r="B24" s="49" t="s">
        <v>154</v>
      </c>
      <c r="C24" s="49" t="s">
        <v>163</v>
      </c>
      <c r="D24" s="50" t="s">
        <v>156</v>
      </c>
      <c r="E24" s="70">
        <f t="shared" si="0"/>
        <v>107525.5</v>
      </c>
      <c r="F24" s="70">
        <v>107100</v>
      </c>
      <c r="G24" s="70">
        <v>1</v>
      </c>
      <c r="H24" s="70">
        <v>1.5</v>
      </c>
      <c r="I24" s="49"/>
      <c r="J24" s="49"/>
    </row>
    <row r="25" spans="2:10" ht="18" customHeight="1">
      <c r="B25" s="49" t="s">
        <v>154</v>
      </c>
      <c r="C25" s="49" t="s">
        <v>163</v>
      </c>
      <c r="D25" s="50" t="s">
        <v>157</v>
      </c>
      <c r="E25" s="70">
        <f t="shared" si="0"/>
        <v>3057.4875925000001</v>
      </c>
      <c r="F25" s="70">
        <v>3045.3885</v>
      </c>
      <c r="G25" s="70">
        <v>2.8434999999999998E-2</v>
      </c>
      <c r="H25" s="70">
        <v>4.2652500000000003E-2</v>
      </c>
      <c r="I25" s="49"/>
      <c r="J25" s="49"/>
    </row>
    <row r="26" spans="2:10" ht="18" customHeight="1">
      <c r="B26" s="49" t="s">
        <v>154</v>
      </c>
      <c r="C26" s="49" t="s">
        <v>164</v>
      </c>
      <c r="D26" s="50" t="s">
        <v>156</v>
      </c>
      <c r="E26" s="70">
        <f t="shared" si="0"/>
        <v>44454.5</v>
      </c>
      <c r="F26" s="70">
        <v>44400</v>
      </c>
      <c r="G26" s="70">
        <v>1</v>
      </c>
      <c r="H26" s="70">
        <v>0.1</v>
      </c>
      <c r="I26" s="49"/>
      <c r="J26" s="49"/>
    </row>
    <row r="27" spans="2:10" ht="18" customHeight="1">
      <c r="B27" s="49" t="s">
        <v>154</v>
      </c>
      <c r="C27" s="49" t="s">
        <v>164</v>
      </c>
      <c r="D27" s="50" t="s">
        <v>165</v>
      </c>
      <c r="E27" s="70">
        <f t="shared" si="0"/>
        <v>771.463393</v>
      </c>
      <c r="F27" s="70">
        <v>770.51760000000002</v>
      </c>
      <c r="G27" s="70">
        <v>1.7354000000000001E-2</v>
      </c>
      <c r="H27" s="70">
        <v>1.7354E-3</v>
      </c>
      <c r="I27" s="49"/>
      <c r="J27" s="49"/>
    </row>
    <row r="28" spans="2:10" ht="18" customHeight="1">
      <c r="B28" s="49" t="s">
        <v>154</v>
      </c>
      <c r="C28" s="49" t="s">
        <v>166</v>
      </c>
      <c r="D28" s="50" t="s">
        <v>156</v>
      </c>
      <c r="E28" s="70">
        <f t="shared" si="0"/>
        <v>259654.5</v>
      </c>
      <c r="F28" s="70">
        <v>259600</v>
      </c>
      <c r="G28" s="70">
        <v>1</v>
      </c>
      <c r="H28" s="70">
        <v>0.1</v>
      </c>
      <c r="I28" s="49"/>
      <c r="J28" s="49"/>
    </row>
    <row r="29" spans="2:10" ht="18" customHeight="1">
      <c r="B29" s="49" t="s">
        <v>154</v>
      </c>
      <c r="C29" s="49" t="s">
        <v>166</v>
      </c>
      <c r="D29" s="50" t="s">
        <v>165</v>
      </c>
      <c r="E29" s="70">
        <f t="shared" si="0"/>
        <v>977.07988350000005</v>
      </c>
      <c r="F29" s="70">
        <v>976.87480000000005</v>
      </c>
      <c r="G29" s="70">
        <v>3.7629999999999999E-3</v>
      </c>
      <c r="H29" s="70">
        <v>3.7629999999999999E-4</v>
      </c>
      <c r="I29" s="49"/>
      <c r="J29" s="49"/>
    </row>
    <row r="30" spans="2:10" ht="18" customHeight="1">
      <c r="B30" s="49" t="s">
        <v>154</v>
      </c>
      <c r="C30" s="49" t="s">
        <v>167</v>
      </c>
      <c r="D30" s="50" t="s">
        <v>156</v>
      </c>
      <c r="E30" s="70">
        <f t="shared" si="0"/>
        <v>181954.5</v>
      </c>
      <c r="F30" s="70">
        <v>181900</v>
      </c>
      <c r="G30" s="70">
        <v>1</v>
      </c>
      <c r="H30" s="70">
        <v>0.1</v>
      </c>
      <c r="I30" s="49"/>
      <c r="J30" s="49"/>
    </row>
    <row r="31" spans="2:10" ht="18" customHeight="1">
      <c r="B31" s="49" t="s">
        <v>154</v>
      </c>
      <c r="C31" s="49" t="s">
        <v>167</v>
      </c>
      <c r="D31" s="50" t="s">
        <v>165</v>
      </c>
      <c r="E31" s="70">
        <f t="shared" si="0"/>
        <v>1445.6285025</v>
      </c>
      <c r="F31" s="70">
        <v>1445.1955</v>
      </c>
      <c r="G31" s="70">
        <v>7.9450000000000007E-3</v>
      </c>
      <c r="H31" s="70">
        <v>7.9449999999999996E-4</v>
      </c>
      <c r="I31" s="70"/>
      <c r="J31" s="49"/>
    </row>
    <row r="32" spans="2:10" ht="18" customHeight="1">
      <c r="B32" s="49" t="s">
        <v>154</v>
      </c>
      <c r="C32" s="49" t="s">
        <v>168</v>
      </c>
      <c r="D32" s="50" t="s">
        <v>156</v>
      </c>
      <c r="E32" s="70">
        <f t="shared" si="0"/>
        <v>44454.5</v>
      </c>
      <c r="F32" s="70">
        <v>44400</v>
      </c>
      <c r="G32" s="70">
        <v>1</v>
      </c>
      <c r="H32" s="70">
        <v>0.1</v>
      </c>
      <c r="I32" s="70"/>
      <c r="J32" s="49"/>
    </row>
    <row r="33" spans="2:10" ht="18" customHeight="1">
      <c r="B33" s="49" t="s">
        <v>154</v>
      </c>
      <c r="C33" s="49" t="s">
        <v>168</v>
      </c>
      <c r="D33" s="50" t="s">
        <v>165</v>
      </c>
      <c r="E33" s="70">
        <f t="shared" si="0"/>
        <v>771.463393</v>
      </c>
      <c r="F33" s="70">
        <v>770.51760000000002</v>
      </c>
      <c r="G33" s="70">
        <v>1.7354000000000001E-2</v>
      </c>
      <c r="H33" s="70">
        <v>1.7354E-3</v>
      </c>
      <c r="I33" s="70"/>
      <c r="J33" s="49"/>
    </row>
    <row r="34" spans="2:10" ht="18" customHeight="1">
      <c r="B34" s="49" t="s">
        <v>154</v>
      </c>
      <c r="C34" s="49" t="s">
        <v>169</v>
      </c>
      <c r="D34" s="50" t="s">
        <v>156</v>
      </c>
      <c r="E34" s="70">
        <f t="shared" si="0"/>
        <v>316.3</v>
      </c>
      <c r="F34" s="70">
        <v>73.3</v>
      </c>
      <c r="G34" s="70">
        <v>3</v>
      </c>
      <c r="H34" s="70">
        <v>0.6</v>
      </c>
      <c r="I34" s="70"/>
      <c r="J34" s="49"/>
    </row>
    <row r="35" spans="2:10" ht="18" customHeight="1">
      <c r="B35" s="49" t="s">
        <v>154</v>
      </c>
      <c r="C35" s="49" t="s">
        <v>169</v>
      </c>
      <c r="D35" s="50" t="s">
        <v>157</v>
      </c>
      <c r="E35" s="70">
        <f t="shared" si="0"/>
        <v>3134.4026600000002</v>
      </c>
      <c r="F35" s="70">
        <v>3124.0459999999998</v>
      </c>
      <c r="G35" s="70">
        <v>0.12786</v>
      </c>
      <c r="H35" s="70">
        <v>2.5572000000000001E-2</v>
      </c>
      <c r="I35" s="70"/>
      <c r="J35" s="49"/>
    </row>
    <row r="36" spans="2:10" ht="18" customHeight="1">
      <c r="B36" s="49" t="s">
        <v>154</v>
      </c>
      <c r="C36" s="49" t="s">
        <v>169</v>
      </c>
      <c r="D36" s="50" t="s">
        <v>170</v>
      </c>
      <c r="E36" s="70">
        <f t="shared" si="0"/>
        <v>2695.5936320000001</v>
      </c>
      <c r="F36" s="70">
        <v>2686.67956</v>
      </c>
      <c r="G36" s="70">
        <v>0.10999399999999999</v>
      </c>
      <c r="H36" s="70">
        <v>2.2016000000000001E-2</v>
      </c>
      <c r="I36" s="70"/>
      <c r="J36" s="49"/>
    </row>
    <row r="37" spans="2:10" ht="18" customHeight="1">
      <c r="B37" s="49" t="s">
        <v>154</v>
      </c>
      <c r="C37" s="49" t="s">
        <v>171</v>
      </c>
      <c r="D37" s="50" t="s">
        <v>156</v>
      </c>
      <c r="E37" s="70">
        <f t="shared" si="0"/>
        <v>312.3</v>
      </c>
      <c r="F37" s="70">
        <v>69.3</v>
      </c>
      <c r="G37" s="70">
        <v>3</v>
      </c>
      <c r="H37" s="70">
        <v>0.6</v>
      </c>
      <c r="I37" s="70"/>
      <c r="J37" s="49"/>
    </row>
    <row r="38" spans="2:10" ht="18" customHeight="1">
      <c r="B38" s="49" t="s">
        <v>154</v>
      </c>
      <c r="C38" s="49" t="s">
        <v>171</v>
      </c>
      <c r="D38" s="50" t="s">
        <v>157</v>
      </c>
      <c r="E38" s="70">
        <f t="shared" si="0"/>
        <v>3115.5264000000002</v>
      </c>
      <c r="F38" s="70">
        <v>3104.64</v>
      </c>
      <c r="G38" s="70">
        <v>0.13439999999999999</v>
      </c>
      <c r="H38" s="70">
        <v>2.6880000000000001E-2</v>
      </c>
      <c r="I38" s="70"/>
      <c r="J38" s="49"/>
    </row>
    <row r="39" spans="2:10" ht="18" customHeight="1">
      <c r="B39" s="49" t="s">
        <v>154</v>
      </c>
      <c r="C39" s="49" t="s">
        <v>171</v>
      </c>
      <c r="D39" s="50" t="s">
        <v>170</v>
      </c>
      <c r="E39" s="70">
        <f t="shared" si="0"/>
        <v>2274.328</v>
      </c>
      <c r="F39" s="70">
        <v>2266.3872000000001</v>
      </c>
      <c r="G39" s="70">
        <v>9.8100000000000007E-2</v>
      </c>
      <c r="H39" s="70">
        <v>1.9599999999999999E-2</v>
      </c>
      <c r="I39" s="70"/>
      <c r="J39" s="49"/>
    </row>
    <row r="40" spans="2:10" ht="18" customHeight="1">
      <c r="B40" s="49" t="s">
        <v>154</v>
      </c>
      <c r="C40" s="49" t="s">
        <v>172</v>
      </c>
      <c r="D40" s="50" t="s">
        <v>156</v>
      </c>
      <c r="E40" s="70">
        <f t="shared" si="0"/>
        <v>313</v>
      </c>
      <c r="F40" s="70">
        <v>70</v>
      </c>
      <c r="G40" s="70">
        <v>3</v>
      </c>
      <c r="H40" s="70">
        <v>0.6</v>
      </c>
      <c r="I40" s="70"/>
      <c r="J40" s="49"/>
    </row>
    <row r="41" spans="2:10" ht="18" customHeight="1">
      <c r="B41" s="49" t="s">
        <v>154</v>
      </c>
      <c r="C41" s="49" t="s">
        <v>172</v>
      </c>
      <c r="D41" s="50" t="s">
        <v>157</v>
      </c>
      <c r="E41" s="70">
        <f t="shared" si="0"/>
        <v>3111.7649000000001</v>
      </c>
      <c r="F41" s="70">
        <v>3101</v>
      </c>
      <c r="G41" s="70">
        <v>0.13289999999999999</v>
      </c>
      <c r="H41" s="70">
        <v>2.6579999999999999E-2</v>
      </c>
      <c r="I41" s="70"/>
      <c r="J41" s="49"/>
    </row>
    <row r="42" spans="2:10" ht="18" customHeight="1">
      <c r="B42" s="49" t="s">
        <v>154</v>
      </c>
      <c r="C42" s="49" t="s">
        <v>172</v>
      </c>
      <c r="D42" s="50" t="s">
        <v>170</v>
      </c>
      <c r="E42" s="70">
        <f t="shared" si="0"/>
        <v>2209.3616999999999</v>
      </c>
      <c r="F42" s="70">
        <v>2201.71</v>
      </c>
      <c r="G42" s="70">
        <v>9.4399999999999998E-2</v>
      </c>
      <c r="H42" s="70">
        <v>1.89E-2</v>
      </c>
      <c r="I42" s="70"/>
      <c r="J42" s="49"/>
    </row>
    <row r="43" spans="2:10" ht="18" customHeight="1">
      <c r="B43" s="49" t="s">
        <v>154</v>
      </c>
      <c r="C43" s="49" t="s">
        <v>173</v>
      </c>
      <c r="D43" s="50" t="s">
        <v>156</v>
      </c>
      <c r="E43" s="70">
        <f t="shared" si="0"/>
        <v>314.89999999999998</v>
      </c>
      <c r="F43" s="70">
        <v>71.900000000000006</v>
      </c>
      <c r="G43" s="70">
        <v>3</v>
      </c>
      <c r="H43" s="70">
        <v>0.6</v>
      </c>
      <c r="I43" s="70"/>
      <c r="J43" s="49"/>
    </row>
    <row r="44" spans="2:10" ht="18" customHeight="1">
      <c r="B44" s="49" t="s">
        <v>154</v>
      </c>
      <c r="C44" s="49" t="s">
        <v>173</v>
      </c>
      <c r="D44" s="50" t="s">
        <v>157</v>
      </c>
      <c r="E44" s="70">
        <f t="shared" si="0"/>
        <v>3228.3992499999999</v>
      </c>
      <c r="F44" s="70">
        <v>3217.5250000000001</v>
      </c>
      <c r="G44" s="70">
        <v>0.13425000000000001</v>
      </c>
      <c r="H44" s="70">
        <v>2.6849999999999999E-2</v>
      </c>
      <c r="I44" s="70"/>
      <c r="J44" s="49"/>
    </row>
    <row r="45" spans="2:10" ht="18" customHeight="1">
      <c r="B45" s="49" t="s">
        <v>154</v>
      </c>
      <c r="C45" s="49" t="s">
        <v>173</v>
      </c>
      <c r="D45" s="50" t="s">
        <v>170</v>
      </c>
      <c r="E45" s="70">
        <f t="shared" si="0"/>
        <v>2647.2804999999998</v>
      </c>
      <c r="F45" s="70">
        <v>2638.3705</v>
      </c>
      <c r="G45" s="70">
        <v>0.11</v>
      </c>
      <c r="H45" s="70">
        <v>2.1999999999999999E-2</v>
      </c>
      <c r="I45" s="49"/>
      <c r="J45" s="49"/>
    </row>
    <row r="46" spans="2:10" ht="18" customHeight="1">
      <c r="B46" s="49" t="s">
        <v>154</v>
      </c>
      <c r="C46" s="49" t="s">
        <v>174</v>
      </c>
      <c r="D46" s="50" t="s">
        <v>156</v>
      </c>
      <c r="E46" s="70">
        <f t="shared" si="0"/>
        <v>314.5</v>
      </c>
      <c r="F46" s="70">
        <v>71.5</v>
      </c>
      <c r="G46" s="70">
        <v>3</v>
      </c>
      <c r="H46" s="70">
        <v>0.6</v>
      </c>
      <c r="I46" s="49"/>
      <c r="J46" s="49"/>
    </row>
    <row r="47" spans="2:10" ht="18" customHeight="1">
      <c r="B47" s="49" t="s">
        <v>154</v>
      </c>
      <c r="C47" s="49" t="s">
        <v>174</v>
      </c>
      <c r="D47" s="50" t="s">
        <v>157</v>
      </c>
      <c r="E47" s="70">
        <f t="shared" si="0"/>
        <v>3199.0203700000002</v>
      </c>
      <c r="F47" s="70">
        <v>3188.1849999999999</v>
      </c>
      <c r="G47" s="70">
        <v>0.13377</v>
      </c>
      <c r="H47" s="70">
        <v>2.6754E-2</v>
      </c>
      <c r="I47" s="49"/>
      <c r="J47" s="49"/>
    </row>
    <row r="48" spans="2:10" ht="18" customHeight="1">
      <c r="B48" s="49" t="s">
        <v>154</v>
      </c>
      <c r="C48" s="49" t="s">
        <v>174</v>
      </c>
      <c r="D48" s="50" t="s">
        <v>170</v>
      </c>
      <c r="E48" s="70">
        <f t="shared" si="0"/>
        <v>2559.2150000000001</v>
      </c>
      <c r="F48" s="70">
        <v>2550.5479999999998</v>
      </c>
      <c r="G48" s="70">
        <v>0.107</v>
      </c>
      <c r="H48" s="70">
        <v>2.1399999999999999E-2</v>
      </c>
      <c r="I48" s="49"/>
      <c r="J48" s="49"/>
    </row>
    <row r="49" spans="2:10" ht="18" customHeight="1">
      <c r="B49" s="49" t="s">
        <v>154</v>
      </c>
      <c r="C49" s="49" t="s">
        <v>175</v>
      </c>
      <c r="D49" s="50" t="s">
        <v>156</v>
      </c>
      <c r="E49" s="70">
        <f t="shared" si="0"/>
        <v>317.10000000000002</v>
      </c>
      <c r="F49" s="70">
        <v>74.099999999999994</v>
      </c>
      <c r="G49" s="70">
        <v>3</v>
      </c>
      <c r="H49" s="70">
        <v>0.6</v>
      </c>
      <c r="I49" s="49"/>
      <c r="J49" s="49"/>
    </row>
    <row r="50" spans="2:10" ht="18" customHeight="1">
      <c r="B50" s="49" t="s">
        <v>154</v>
      </c>
      <c r="C50" s="49" t="s">
        <v>175</v>
      </c>
      <c r="D50" s="50" t="s">
        <v>157</v>
      </c>
      <c r="E50" s="70">
        <f t="shared" si="0"/>
        <v>3221.2821899999999</v>
      </c>
      <c r="F50" s="70">
        <v>3210.7530000000002</v>
      </c>
      <c r="G50" s="70">
        <v>0.12998999999999999</v>
      </c>
      <c r="H50" s="70">
        <v>2.5998E-2</v>
      </c>
      <c r="I50" s="49"/>
      <c r="J50" s="49"/>
    </row>
    <row r="51" spans="2:10" ht="18" customHeight="1">
      <c r="B51" s="49" t="s">
        <v>154</v>
      </c>
      <c r="C51" s="49" t="s">
        <v>175</v>
      </c>
      <c r="D51" s="50" t="s">
        <v>170</v>
      </c>
      <c r="E51" s="70">
        <f t="shared" si="0"/>
        <v>2770.3139999999999</v>
      </c>
      <c r="F51" s="70">
        <v>2761.2476000000001</v>
      </c>
      <c r="G51" s="70">
        <v>0.1118</v>
      </c>
      <c r="H51" s="70">
        <v>2.24E-2</v>
      </c>
      <c r="I51" s="49"/>
      <c r="J51" s="49"/>
    </row>
    <row r="52" spans="2:10" ht="18" customHeight="1">
      <c r="B52" s="49" t="s">
        <v>154</v>
      </c>
      <c r="C52" s="49" t="s">
        <v>176</v>
      </c>
      <c r="D52" s="50" t="s">
        <v>156</v>
      </c>
      <c r="E52" s="70">
        <f t="shared" si="0"/>
        <v>320.39999999999998</v>
      </c>
      <c r="F52" s="70">
        <v>77.400000000000006</v>
      </c>
      <c r="G52" s="70">
        <v>3</v>
      </c>
      <c r="H52" s="70">
        <v>0.6</v>
      </c>
      <c r="I52" s="49"/>
      <c r="J52" s="49"/>
    </row>
    <row r="53" spans="2:10" ht="18" customHeight="1">
      <c r="B53" s="49" t="s">
        <v>154</v>
      </c>
      <c r="C53" s="49" t="s">
        <v>176</v>
      </c>
      <c r="D53" s="50" t="s">
        <v>157</v>
      </c>
      <c r="E53" s="70">
        <f t="shared" si="0"/>
        <v>3120.47217</v>
      </c>
      <c r="F53" s="70">
        <v>3110.7060000000001</v>
      </c>
      <c r="G53" s="70">
        <v>0.12057</v>
      </c>
      <c r="H53" s="70">
        <v>2.4114E-2</v>
      </c>
      <c r="I53" s="49"/>
      <c r="J53" s="49"/>
    </row>
    <row r="54" spans="2:10" ht="18" customHeight="1">
      <c r="B54" s="49" t="s">
        <v>154</v>
      </c>
      <c r="C54" s="49" t="s">
        <v>176</v>
      </c>
      <c r="D54" s="50" t="s">
        <v>170</v>
      </c>
      <c r="E54" s="70">
        <f t="shared" si="0"/>
        <v>2870.8404999999998</v>
      </c>
      <c r="F54" s="70">
        <v>2861.8494999999998</v>
      </c>
      <c r="G54" s="70">
        <v>0.111</v>
      </c>
      <c r="H54" s="70">
        <v>2.2200000000000001E-2</v>
      </c>
      <c r="I54" s="49"/>
      <c r="J54" s="49"/>
    </row>
    <row r="55" spans="2:10" ht="18" customHeight="1">
      <c r="B55" s="49" t="s">
        <v>154</v>
      </c>
      <c r="C55" s="49" t="s">
        <v>177</v>
      </c>
      <c r="D55" s="50" t="s">
        <v>156</v>
      </c>
      <c r="E55" s="70">
        <f t="shared" si="0"/>
        <v>316.3</v>
      </c>
      <c r="F55" s="70">
        <v>73.3</v>
      </c>
      <c r="G55" s="70">
        <v>3</v>
      </c>
      <c r="H55" s="70">
        <v>0.6</v>
      </c>
      <c r="I55" s="49"/>
      <c r="J55" s="49"/>
    </row>
    <row r="56" spans="2:10" ht="18" customHeight="1">
      <c r="B56" s="49" t="s">
        <v>154</v>
      </c>
      <c r="C56" s="49" t="s">
        <v>177</v>
      </c>
      <c r="D56" s="50" t="s">
        <v>157</v>
      </c>
      <c r="E56" s="70">
        <f t="shared" si="0"/>
        <v>3310.1704300000001</v>
      </c>
      <c r="F56" s="70">
        <v>3299.2330000000002</v>
      </c>
      <c r="G56" s="70">
        <v>0.13503000000000001</v>
      </c>
      <c r="H56" s="70">
        <v>2.7005999999999999E-2</v>
      </c>
      <c r="I56" s="49"/>
      <c r="J56" s="49"/>
    </row>
    <row r="57" spans="2:10" ht="18" customHeight="1">
      <c r="B57" s="49" t="s">
        <v>154</v>
      </c>
      <c r="C57" s="49" t="s">
        <v>177</v>
      </c>
      <c r="D57" s="50" t="s">
        <v>170</v>
      </c>
      <c r="E57" s="70">
        <f t="shared" si="0"/>
        <v>2383.3103999999998</v>
      </c>
      <c r="F57" s="70">
        <v>2375.4477999999999</v>
      </c>
      <c r="G57" s="70">
        <v>9.7199999999999995E-2</v>
      </c>
      <c r="H57" s="70">
        <v>1.9400000000000001E-2</v>
      </c>
      <c r="I57" s="49"/>
      <c r="J57" s="49"/>
    </row>
    <row r="58" spans="2:10" ht="18" customHeight="1">
      <c r="B58" s="49" t="s">
        <v>154</v>
      </c>
      <c r="C58" s="49" t="s">
        <v>178</v>
      </c>
      <c r="D58" s="50" t="s">
        <v>156</v>
      </c>
      <c r="E58" s="70">
        <f t="shared" si="0"/>
        <v>316.3</v>
      </c>
      <c r="F58" s="70">
        <v>73.3</v>
      </c>
      <c r="G58" s="70">
        <v>3</v>
      </c>
      <c r="H58" s="70">
        <v>0.6</v>
      </c>
      <c r="I58" s="49"/>
      <c r="J58" s="49"/>
    </row>
    <row r="59" spans="2:10" ht="18" customHeight="1">
      <c r="B59" s="49" t="s">
        <v>154</v>
      </c>
      <c r="C59" s="49" t="s">
        <v>178</v>
      </c>
      <c r="D59" s="50" t="s">
        <v>157</v>
      </c>
      <c r="E59" s="70">
        <f t="shared" si="0"/>
        <v>2955.69317</v>
      </c>
      <c r="F59" s="70">
        <v>2945.9270000000001</v>
      </c>
      <c r="G59" s="70">
        <v>0.12057</v>
      </c>
      <c r="H59" s="70">
        <v>2.4114E-2</v>
      </c>
      <c r="I59" s="49"/>
      <c r="J59" s="49"/>
    </row>
    <row r="60" spans="2:10" ht="18" customHeight="1">
      <c r="B60" s="49" t="s">
        <v>154</v>
      </c>
      <c r="C60" s="49" t="s">
        <v>178</v>
      </c>
      <c r="D60" s="50" t="s">
        <v>170</v>
      </c>
      <c r="E60" s="70">
        <f t="shared" si="0"/>
        <v>2660.1228000000001</v>
      </c>
      <c r="F60" s="70">
        <v>2651.3343</v>
      </c>
      <c r="G60" s="70">
        <v>0.1085</v>
      </c>
      <c r="H60" s="70">
        <v>2.1700000000000001E-2</v>
      </c>
      <c r="I60" s="49"/>
      <c r="J60" s="49"/>
    </row>
    <row r="61" spans="2:10" ht="18" customHeight="1">
      <c r="B61" s="49" t="s">
        <v>154</v>
      </c>
      <c r="C61" s="49" t="s">
        <v>179</v>
      </c>
      <c r="D61" s="50" t="s">
        <v>156</v>
      </c>
      <c r="E61" s="70">
        <f t="shared" si="0"/>
        <v>316.3</v>
      </c>
      <c r="F61" s="70">
        <v>73.3</v>
      </c>
      <c r="G61" s="70">
        <v>3</v>
      </c>
      <c r="H61" s="70">
        <v>0.6</v>
      </c>
      <c r="I61" s="49"/>
      <c r="J61" s="49"/>
    </row>
    <row r="62" spans="2:10" ht="18" customHeight="1">
      <c r="B62" s="49" t="s">
        <v>154</v>
      </c>
      <c r="C62" s="49" t="s">
        <v>179</v>
      </c>
      <c r="D62" s="50" t="s">
        <v>157</v>
      </c>
      <c r="E62" s="70">
        <f t="shared" si="0"/>
        <v>2955.69317</v>
      </c>
      <c r="F62" s="70">
        <v>2945.9270000000001</v>
      </c>
      <c r="G62" s="70">
        <v>0.12057</v>
      </c>
      <c r="H62" s="70">
        <v>2.4114E-2</v>
      </c>
      <c r="I62" s="49"/>
      <c r="J62" s="49"/>
    </row>
    <row r="63" spans="2:10" ht="18" customHeight="1">
      <c r="B63" s="49" t="s">
        <v>154</v>
      </c>
      <c r="C63" s="49" t="s">
        <v>179</v>
      </c>
      <c r="D63" s="50" t="s">
        <v>170</v>
      </c>
      <c r="E63" s="70">
        <f t="shared" si="0"/>
        <v>2660.1228000000001</v>
      </c>
      <c r="F63" s="70">
        <v>2651.3343</v>
      </c>
      <c r="G63" s="70">
        <v>0.1085</v>
      </c>
      <c r="H63" s="70">
        <v>2.1700000000000001E-2</v>
      </c>
      <c r="I63" s="49"/>
      <c r="J63" s="49"/>
    </row>
    <row r="64" spans="2:10" ht="18" customHeight="1">
      <c r="B64" s="49" t="s">
        <v>154</v>
      </c>
      <c r="C64" s="49" t="s">
        <v>180</v>
      </c>
      <c r="D64" s="50" t="s">
        <v>156</v>
      </c>
      <c r="E64" s="70">
        <f t="shared" si="0"/>
        <v>316.3</v>
      </c>
      <c r="F64" s="70">
        <v>73.3</v>
      </c>
      <c r="G64" s="70">
        <v>3</v>
      </c>
      <c r="H64" s="70">
        <v>0.6</v>
      </c>
      <c r="I64" s="49"/>
      <c r="J64" s="49"/>
    </row>
    <row r="65" spans="2:10" ht="18" customHeight="1">
      <c r="B65" s="49" t="s">
        <v>154</v>
      </c>
      <c r="C65" s="49" t="s">
        <v>180</v>
      </c>
      <c r="D65" s="50" t="s">
        <v>157</v>
      </c>
      <c r="E65" s="70">
        <f t="shared" si="0"/>
        <v>2955.69317</v>
      </c>
      <c r="F65" s="70">
        <v>2945.9270000000001</v>
      </c>
      <c r="G65" s="70">
        <v>0.12057</v>
      </c>
      <c r="H65" s="70">
        <v>2.4114E-2</v>
      </c>
      <c r="I65" s="49"/>
      <c r="J65" s="49"/>
    </row>
    <row r="66" spans="2:10" ht="18" customHeight="1">
      <c r="B66" s="49" t="s">
        <v>154</v>
      </c>
      <c r="C66" s="49" t="s">
        <v>180</v>
      </c>
      <c r="D66" s="50" t="s">
        <v>170</v>
      </c>
      <c r="E66" s="70">
        <f t="shared" si="0"/>
        <v>2334.9857000000002</v>
      </c>
      <c r="F66" s="70">
        <v>2327.2822999999999</v>
      </c>
      <c r="G66" s="70">
        <v>9.5299999999999996E-2</v>
      </c>
      <c r="H66" s="70">
        <v>1.9E-2</v>
      </c>
      <c r="I66" s="49"/>
      <c r="J66" s="49"/>
    </row>
    <row r="67" spans="2:10" ht="18" customHeight="1">
      <c r="B67" s="49" t="s">
        <v>154</v>
      </c>
      <c r="C67" s="49" t="s">
        <v>181</v>
      </c>
      <c r="D67" s="50" t="s">
        <v>156</v>
      </c>
      <c r="E67" s="70">
        <f t="shared" si="0"/>
        <v>323.7</v>
      </c>
      <c r="F67" s="70">
        <v>80.7</v>
      </c>
      <c r="G67" s="70">
        <v>3</v>
      </c>
      <c r="H67" s="70">
        <v>0.6</v>
      </c>
      <c r="I67" s="49"/>
      <c r="J67" s="49"/>
    </row>
    <row r="68" spans="2:10" ht="18" customHeight="1">
      <c r="B68" s="49" t="s">
        <v>154</v>
      </c>
      <c r="C68" s="49" t="s">
        <v>181</v>
      </c>
      <c r="D68" s="50" t="s">
        <v>157</v>
      </c>
      <c r="E68" s="70">
        <f t="shared" si="0"/>
        <v>3253.09917</v>
      </c>
      <c r="F68" s="70">
        <v>3243.3330000000001</v>
      </c>
      <c r="G68" s="70">
        <v>0.12057</v>
      </c>
      <c r="H68" s="70">
        <v>2.4114E-2</v>
      </c>
      <c r="I68" s="49"/>
      <c r="J68" s="49"/>
    </row>
    <row r="69" spans="2:10" ht="18" customHeight="1">
      <c r="B69" s="49" t="s">
        <v>154</v>
      </c>
      <c r="C69" s="49" t="s">
        <v>181</v>
      </c>
      <c r="D69" s="50" t="s">
        <v>170</v>
      </c>
      <c r="E69" s="70">
        <f t="shared" si="0"/>
        <v>3253.0963000000002</v>
      </c>
      <c r="F69" s="70">
        <v>3243.3330000000001</v>
      </c>
      <c r="G69" s="70">
        <v>0.1206</v>
      </c>
      <c r="H69" s="70">
        <v>2.41E-2</v>
      </c>
      <c r="I69" s="49"/>
      <c r="J69" s="49"/>
    </row>
    <row r="70" spans="2:10" ht="18" customHeight="1">
      <c r="B70" s="49" t="s">
        <v>154</v>
      </c>
      <c r="C70" s="49" t="s">
        <v>182</v>
      </c>
      <c r="D70" s="50" t="s">
        <v>157</v>
      </c>
      <c r="E70" s="70">
        <f t="shared" si="0"/>
        <v>340.5</v>
      </c>
      <c r="F70" s="70">
        <v>97.5</v>
      </c>
      <c r="G70" s="70">
        <v>3</v>
      </c>
      <c r="H70" s="70">
        <v>0.6</v>
      </c>
      <c r="I70" s="49"/>
      <c r="J70" s="49"/>
    </row>
    <row r="71" spans="2:10" ht="18" customHeight="1">
      <c r="B71" s="49" t="s">
        <v>154</v>
      </c>
      <c r="C71" s="49" t="s">
        <v>122</v>
      </c>
      <c r="D71" s="50" t="s">
        <v>156</v>
      </c>
      <c r="E71" s="70">
        <f t="shared" si="0"/>
        <v>117.6</v>
      </c>
      <c r="F71" s="70">
        <v>63.1</v>
      </c>
      <c r="G71" s="70">
        <v>1</v>
      </c>
      <c r="H71" s="70">
        <v>0.1</v>
      </c>
      <c r="I71" s="49"/>
      <c r="J71" s="49"/>
    </row>
    <row r="72" spans="2:10" ht="18" customHeight="1">
      <c r="B72" s="49" t="s">
        <v>154</v>
      </c>
      <c r="C72" s="49" t="s">
        <v>122</v>
      </c>
      <c r="D72" s="50" t="s">
        <v>157</v>
      </c>
      <c r="E72" s="70">
        <f t="shared" si="0"/>
        <v>3169.0928100000001</v>
      </c>
      <c r="F72" s="70">
        <v>3166.3580000000002</v>
      </c>
      <c r="G72" s="70">
        <v>5.0180000000000002E-2</v>
      </c>
      <c r="H72" s="70">
        <v>5.0179999999999999E-3</v>
      </c>
      <c r="I72" s="49"/>
      <c r="J72" s="49"/>
    </row>
    <row r="73" spans="2:10" ht="18" customHeight="1">
      <c r="B73" s="49" t="s">
        <v>154</v>
      </c>
      <c r="C73" s="49" t="s">
        <v>122</v>
      </c>
      <c r="D73" s="50" t="s">
        <v>170</v>
      </c>
      <c r="E73" s="70">
        <f t="shared" si="0"/>
        <v>1711.3076000000001</v>
      </c>
      <c r="F73" s="70">
        <v>1709.8333</v>
      </c>
      <c r="G73" s="70">
        <v>2.7099999999999999E-2</v>
      </c>
      <c r="H73" s="70">
        <v>2.7000000000000001E-3</v>
      </c>
      <c r="I73" s="49"/>
      <c r="J73" s="49"/>
    </row>
    <row r="74" spans="2:10" ht="18" customHeight="1">
      <c r="B74" s="49" t="s">
        <v>154</v>
      </c>
      <c r="C74" s="49" t="s">
        <v>183</v>
      </c>
      <c r="D74" s="50" t="s">
        <v>157</v>
      </c>
      <c r="E74" s="70">
        <f t="shared" si="0"/>
        <v>112.1</v>
      </c>
      <c r="F74" s="70">
        <v>57.6</v>
      </c>
      <c r="G74" s="70">
        <v>1</v>
      </c>
      <c r="H74" s="70">
        <v>0.1</v>
      </c>
      <c r="I74" s="49"/>
      <c r="J74" s="49"/>
    </row>
    <row r="75" spans="2:10" ht="18" customHeight="1">
      <c r="B75" s="49" t="s">
        <v>154</v>
      </c>
      <c r="C75" s="49" t="s">
        <v>184</v>
      </c>
      <c r="D75" s="50" t="s">
        <v>156</v>
      </c>
      <c r="E75" s="70">
        <f t="shared" si="0"/>
        <v>316.3</v>
      </c>
      <c r="F75" s="70">
        <v>73.3</v>
      </c>
      <c r="G75" s="70">
        <v>3</v>
      </c>
      <c r="H75" s="70">
        <v>0.6</v>
      </c>
      <c r="I75" s="49"/>
      <c r="J75" s="49"/>
    </row>
    <row r="76" spans="2:10" ht="18" customHeight="1">
      <c r="B76" s="49" t="s">
        <v>154</v>
      </c>
      <c r="C76" s="49" t="s">
        <v>184</v>
      </c>
      <c r="D76" s="50" t="s">
        <v>157</v>
      </c>
      <c r="E76" s="70">
        <f t="shared" ref="E76:E138" si="1">F76+G76*28+H76*265</f>
        <v>2955.69317</v>
      </c>
      <c r="F76" s="70">
        <v>2945.9270000000001</v>
      </c>
      <c r="G76" s="70">
        <v>0.12057</v>
      </c>
      <c r="H76" s="70">
        <v>2.4114E-2</v>
      </c>
      <c r="I76" s="49"/>
      <c r="J76" s="49"/>
    </row>
    <row r="77" spans="2:10" ht="18" customHeight="1">
      <c r="B77" s="49" t="s">
        <v>154</v>
      </c>
      <c r="C77" s="49" t="s">
        <v>184</v>
      </c>
      <c r="D77" s="50" t="s">
        <v>170</v>
      </c>
      <c r="E77" s="70">
        <f t="shared" si="1"/>
        <v>2512.3404</v>
      </c>
      <c r="F77" s="70">
        <v>2504.0378999999998</v>
      </c>
      <c r="G77" s="70">
        <v>0.10249999999999999</v>
      </c>
      <c r="H77" s="70">
        <v>2.0500000000000001E-2</v>
      </c>
      <c r="I77" s="49"/>
      <c r="J77" s="49"/>
    </row>
    <row r="78" spans="2:10" ht="18" customHeight="1">
      <c r="B78" s="49" t="s">
        <v>154</v>
      </c>
      <c r="C78" s="49" t="s">
        <v>185</v>
      </c>
      <c r="D78" s="50" t="s">
        <v>165</v>
      </c>
      <c r="E78" s="70">
        <f t="shared" si="1"/>
        <v>111.7</v>
      </c>
      <c r="F78" s="70">
        <v>57.2</v>
      </c>
      <c r="G78" s="70">
        <v>1</v>
      </c>
      <c r="H78" s="70">
        <v>0.1</v>
      </c>
      <c r="I78" s="49"/>
      <c r="J78" s="49"/>
    </row>
    <row r="79" spans="2:10" ht="18" customHeight="1">
      <c r="B79" s="49" t="s">
        <v>154</v>
      </c>
      <c r="C79" s="49" t="s">
        <v>186</v>
      </c>
      <c r="D79" s="50" t="s">
        <v>157</v>
      </c>
      <c r="E79" s="70">
        <f t="shared" si="1"/>
        <v>111.3</v>
      </c>
      <c r="F79" s="70">
        <v>56.8</v>
      </c>
      <c r="G79" s="70">
        <v>1</v>
      </c>
      <c r="H79" s="70">
        <v>0.1</v>
      </c>
      <c r="I79" s="49"/>
      <c r="J79" s="49"/>
    </row>
    <row r="80" spans="2:10" ht="18" customHeight="1">
      <c r="B80" s="49" t="s">
        <v>187</v>
      </c>
      <c r="C80" s="49" t="s">
        <v>188</v>
      </c>
      <c r="D80" s="50" t="s">
        <v>156</v>
      </c>
      <c r="E80" s="70">
        <f t="shared" si="1"/>
        <v>74826</v>
      </c>
      <c r="F80" s="70">
        <v>74100</v>
      </c>
      <c r="G80" s="70">
        <v>7</v>
      </c>
      <c r="H80" s="70">
        <v>2</v>
      </c>
      <c r="I80" s="49"/>
      <c r="J80" s="49"/>
    </row>
    <row r="81" spans="2:10" ht="18" customHeight="1">
      <c r="B81" s="49" t="s">
        <v>187</v>
      </c>
      <c r="C81" s="49" t="s">
        <v>188</v>
      </c>
      <c r="D81" s="50" t="s">
        <v>157</v>
      </c>
      <c r="E81" s="70">
        <f t="shared" si="1"/>
        <v>3242.2105799999999</v>
      </c>
      <c r="F81" s="70">
        <v>3210.7530000000002</v>
      </c>
      <c r="G81" s="70">
        <v>0.30331000000000002</v>
      </c>
      <c r="H81" s="70">
        <v>8.6660000000000001E-2</v>
      </c>
      <c r="I81" s="49"/>
      <c r="J81" s="49"/>
    </row>
    <row r="82" spans="2:10" ht="18" customHeight="1">
      <c r="B82" s="49" t="s">
        <v>187</v>
      </c>
      <c r="C82" s="49" t="s">
        <v>189</v>
      </c>
      <c r="D82" s="50" t="s">
        <v>156</v>
      </c>
      <c r="E82" s="70">
        <f t="shared" si="1"/>
        <v>78126</v>
      </c>
      <c r="F82" s="70">
        <v>77400</v>
      </c>
      <c r="G82" s="70">
        <v>7</v>
      </c>
      <c r="H82" s="70">
        <v>2</v>
      </c>
      <c r="I82" s="49"/>
      <c r="J82" s="49"/>
    </row>
    <row r="83" spans="2:10" ht="18" customHeight="1">
      <c r="B83" s="49" t="s">
        <v>187</v>
      </c>
      <c r="C83" s="49" t="s">
        <v>189</v>
      </c>
      <c r="D83" s="50" t="s">
        <v>157</v>
      </c>
      <c r="E83" s="70">
        <f t="shared" si="1"/>
        <v>3139.8839400000002</v>
      </c>
      <c r="F83" s="70">
        <v>3110.7060000000001</v>
      </c>
      <c r="G83" s="70">
        <v>0.28133000000000002</v>
      </c>
      <c r="H83" s="70">
        <v>8.0379999999999993E-2</v>
      </c>
      <c r="I83" s="49"/>
      <c r="J83" s="49"/>
    </row>
    <row r="84" spans="2:10" ht="18" customHeight="1">
      <c r="B84" s="49" t="s">
        <v>187</v>
      </c>
      <c r="C84" s="49" t="s">
        <v>190</v>
      </c>
      <c r="D84" s="50" t="s">
        <v>156</v>
      </c>
      <c r="E84" s="70">
        <f t="shared" si="1"/>
        <v>63826</v>
      </c>
      <c r="F84" s="70">
        <v>63100</v>
      </c>
      <c r="G84" s="70">
        <v>7</v>
      </c>
      <c r="H84" s="70">
        <v>2</v>
      </c>
      <c r="I84" s="49"/>
      <c r="J84" s="49"/>
    </row>
    <row r="85" spans="2:10" ht="18" customHeight="1">
      <c r="B85" s="49" t="s">
        <v>187</v>
      </c>
      <c r="C85" s="49" t="s">
        <v>190</v>
      </c>
      <c r="D85" s="50" t="s">
        <v>157</v>
      </c>
      <c r="E85" s="70">
        <f t="shared" si="1"/>
        <v>0</v>
      </c>
      <c r="F85" s="70"/>
      <c r="G85" s="70"/>
      <c r="H85" s="70"/>
      <c r="I85" s="49"/>
      <c r="J85" s="49"/>
    </row>
    <row r="86" spans="2:10" ht="18" customHeight="1">
      <c r="B86" s="49" t="s">
        <v>187</v>
      </c>
      <c r="C86" s="49" t="s">
        <v>172</v>
      </c>
      <c r="D86" s="50" t="s">
        <v>156</v>
      </c>
      <c r="E86" s="70">
        <f t="shared" si="1"/>
        <v>70544</v>
      </c>
      <c r="F86" s="70">
        <v>70000</v>
      </c>
      <c r="G86" s="70">
        <v>0.5</v>
      </c>
      <c r="H86" s="70">
        <v>2</v>
      </c>
      <c r="I86" s="49"/>
      <c r="J86" s="49"/>
    </row>
    <row r="87" spans="2:10" ht="18" customHeight="1">
      <c r="B87" s="49" t="s">
        <v>187</v>
      </c>
      <c r="C87" s="49" t="s">
        <v>172</v>
      </c>
      <c r="D87" s="50" t="s">
        <v>157</v>
      </c>
      <c r="E87" s="70">
        <f t="shared" si="1"/>
        <v>3125.0992000000001</v>
      </c>
      <c r="F87" s="70">
        <v>3101</v>
      </c>
      <c r="G87" s="70">
        <v>2.215E-2</v>
      </c>
      <c r="H87" s="70">
        <v>8.8599999999999998E-2</v>
      </c>
      <c r="I87" s="49"/>
      <c r="J87" s="49"/>
    </row>
    <row r="88" spans="2:10" ht="18" customHeight="1">
      <c r="B88" s="49" t="s">
        <v>187</v>
      </c>
      <c r="C88" s="49" t="s">
        <v>174</v>
      </c>
      <c r="D88" s="50" t="s">
        <v>156</v>
      </c>
      <c r="E88" s="70">
        <f t="shared" si="1"/>
        <v>72044</v>
      </c>
      <c r="F88" s="70">
        <v>71500</v>
      </c>
      <c r="G88" s="70">
        <v>0.5</v>
      </c>
      <c r="H88" s="70">
        <v>2</v>
      </c>
      <c r="I88" s="49"/>
      <c r="J88" s="49"/>
    </row>
    <row r="89" spans="2:10" ht="18" customHeight="1">
      <c r="B89" s="49" t="s">
        <v>187</v>
      </c>
      <c r="C89" s="49" t="s">
        <v>174</v>
      </c>
      <c r="D89" s="50" t="s">
        <v>157</v>
      </c>
      <c r="E89" s="70">
        <f t="shared" si="1"/>
        <v>3212.4419600000001</v>
      </c>
      <c r="F89" s="70">
        <v>3188.1849999999999</v>
      </c>
      <c r="G89" s="70">
        <v>2.2294999999999999E-2</v>
      </c>
      <c r="H89" s="70">
        <v>8.9179999999999995E-2</v>
      </c>
      <c r="I89" s="49"/>
      <c r="J89" s="49"/>
    </row>
    <row r="90" spans="2:10" ht="18" customHeight="1">
      <c r="B90" s="49" t="s">
        <v>187</v>
      </c>
      <c r="C90" s="49" t="s">
        <v>191</v>
      </c>
      <c r="D90" s="50" t="s">
        <v>156</v>
      </c>
      <c r="E90" s="70">
        <f t="shared" si="1"/>
        <v>70916.899999999994</v>
      </c>
      <c r="F90" s="70">
        <v>69300</v>
      </c>
      <c r="G90" s="70">
        <v>3.8</v>
      </c>
      <c r="H90" s="70">
        <v>5.7</v>
      </c>
      <c r="I90" s="49"/>
      <c r="J90" s="49"/>
    </row>
    <row r="91" spans="2:10" ht="18" customHeight="1">
      <c r="B91" s="49" t="s">
        <v>187</v>
      </c>
      <c r="C91" s="49" t="s">
        <v>191</v>
      </c>
      <c r="D91" s="50" t="s">
        <v>157</v>
      </c>
      <c r="E91" s="70">
        <f t="shared" si="1"/>
        <v>0</v>
      </c>
      <c r="F91" s="70"/>
      <c r="G91" s="70"/>
      <c r="H91" s="70"/>
      <c r="I91" s="49"/>
      <c r="J91" s="49"/>
    </row>
    <row r="92" spans="2:10" ht="18" customHeight="1">
      <c r="B92" s="49" t="s">
        <v>187</v>
      </c>
      <c r="C92" s="49" t="s">
        <v>191</v>
      </c>
      <c r="D92" s="50" t="s">
        <v>192</v>
      </c>
      <c r="E92" s="70">
        <f t="shared" si="1"/>
        <v>0</v>
      </c>
      <c r="F92" s="70"/>
      <c r="G92" s="70"/>
      <c r="H92" s="70"/>
      <c r="I92" s="49"/>
      <c r="J92" s="49"/>
    </row>
    <row r="93" spans="2:10" ht="18" customHeight="1">
      <c r="B93" s="49" t="s">
        <v>187</v>
      </c>
      <c r="C93" s="49" t="s">
        <v>193</v>
      </c>
      <c r="D93" s="50" t="s">
        <v>156</v>
      </c>
      <c r="E93" s="70">
        <f t="shared" si="1"/>
        <v>75242.7</v>
      </c>
      <c r="F93" s="70">
        <v>74100</v>
      </c>
      <c r="G93" s="70">
        <v>3.9</v>
      </c>
      <c r="H93" s="70">
        <v>3.9</v>
      </c>
      <c r="I93" s="49"/>
      <c r="J93" s="49"/>
    </row>
    <row r="94" spans="2:10" ht="18" customHeight="1">
      <c r="B94" s="49" t="s">
        <v>187</v>
      </c>
      <c r="C94" s="49" t="s">
        <v>193</v>
      </c>
      <c r="D94" s="50" t="s">
        <v>157</v>
      </c>
      <c r="E94" s="70">
        <f t="shared" si="1"/>
        <v>0</v>
      </c>
      <c r="F94" s="70"/>
      <c r="G94" s="70"/>
      <c r="H94" s="70"/>
      <c r="I94" s="49"/>
      <c r="J94" s="49"/>
    </row>
    <row r="95" spans="2:10" ht="18" customHeight="1">
      <c r="B95" s="49" t="s">
        <v>187</v>
      </c>
      <c r="C95" s="49" t="s">
        <v>193</v>
      </c>
      <c r="D95" s="50" t="s">
        <v>192</v>
      </c>
      <c r="E95" s="70">
        <f t="shared" si="1"/>
        <v>0</v>
      </c>
      <c r="F95" s="70"/>
      <c r="G95" s="70"/>
      <c r="H95" s="70"/>
      <c r="I95" s="49"/>
      <c r="J95" s="49"/>
    </row>
    <row r="96" spans="2:10" ht="18" customHeight="1">
      <c r="B96" s="49" t="s">
        <v>187</v>
      </c>
      <c r="C96" s="49" t="s">
        <v>194</v>
      </c>
      <c r="D96" s="50" t="s">
        <v>156</v>
      </c>
      <c r="E96" s="70">
        <f t="shared" si="1"/>
        <v>64889</v>
      </c>
      <c r="F96" s="70">
        <v>63100</v>
      </c>
      <c r="G96" s="70">
        <v>62</v>
      </c>
      <c r="H96" s="70">
        <v>0.2</v>
      </c>
      <c r="I96" s="49"/>
      <c r="J96" s="49"/>
    </row>
    <row r="97" spans="2:10" ht="18" customHeight="1">
      <c r="B97" s="49" t="s">
        <v>187</v>
      </c>
      <c r="C97" s="49" t="s">
        <v>194</v>
      </c>
      <c r="D97" s="50" t="s">
        <v>157</v>
      </c>
      <c r="E97" s="70">
        <f t="shared" si="1"/>
        <v>0</v>
      </c>
      <c r="F97" s="70"/>
      <c r="G97" s="70"/>
      <c r="H97" s="70"/>
      <c r="I97" s="49"/>
      <c r="J97" s="49"/>
    </row>
    <row r="98" spans="2:10" ht="18" customHeight="1">
      <c r="B98" s="49" t="s">
        <v>187</v>
      </c>
      <c r="C98" s="49" t="s">
        <v>195</v>
      </c>
      <c r="D98" s="50" t="s">
        <v>156</v>
      </c>
      <c r="E98" s="70">
        <f t="shared" si="1"/>
        <v>60571</v>
      </c>
      <c r="F98" s="70">
        <v>57200</v>
      </c>
      <c r="G98" s="70">
        <v>92</v>
      </c>
      <c r="H98" s="70">
        <v>3</v>
      </c>
      <c r="I98" s="49"/>
      <c r="J98" s="49"/>
    </row>
    <row r="99" spans="2:10" ht="18" customHeight="1">
      <c r="B99" s="49" t="s">
        <v>187</v>
      </c>
      <c r="C99" s="49" t="s">
        <v>195</v>
      </c>
      <c r="D99" s="50" t="s">
        <v>196</v>
      </c>
      <c r="E99" s="70">
        <f t="shared" si="1"/>
        <v>215699388.09999999</v>
      </c>
      <c r="F99" s="70">
        <f t="shared" ref="F99:H99" si="2">F98*3561.1</f>
        <v>203694920</v>
      </c>
      <c r="G99" s="70">
        <f t="shared" si="2"/>
        <v>327621.2</v>
      </c>
      <c r="H99" s="70">
        <f t="shared" si="2"/>
        <v>10683.3</v>
      </c>
      <c r="I99" s="49"/>
      <c r="J99" s="49"/>
    </row>
    <row r="100" spans="2:10" ht="18" customHeight="1">
      <c r="B100" s="49" t="s">
        <v>187</v>
      </c>
      <c r="C100" s="49" t="s">
        <v>197</v>
      </c>
      <c r="D100" s="50" t="s">
        <v>156</v>
      </c>
      <c r="E100" s="70">
        <f t="shared" si="1"/>
        <v>56800</v>
      </c>
      <c r="F100" s="70">
        <v>56800</v>
      </c>
      <c r="G100" s="71"/>
      <c r="H100" s="71"/>
      <c r="I100" s="49"/>
      <c r="J100" s="49"/>
    </row>
    <row r="101" spans="2:10" ht="18" customHeight="1">
      <c r="B101" s="49" t="s">
        <v>187</v>
      </c>
      <c r="C101" s="49" t="s">
        <v>197</v>
      </c>
      <c r="D101" s="50" t="s">
        <v>157</v>
      </c>
      <c r="E101" s="70">
        <f t="shared" si="1"/>
        <v>2962.6880000000001</v>
      </c>
      <c r="F101" s="70">
        <f>F100*521.6/10000</f>
        <v>2962.6880000000001</v>
      </c>
      <c r="G101" s="71"/>
      <c r="H101" s="71"/>
      <c r="I101" s="49"/>
      <c r="J101" s="49"/>
    </row>
    <row r="102" spans="2:10" ht="18" customHeight="1">
      <c r="B102" s="49" t="s">
        <v>198</v>
      </c>
      <c r="C102" s="49" t="s">
        <v>199</v>
      </c>
      <c r="D102" s="50" t="s">
        <v>156</v>
      </c>
      <c r="E102" s="70">
        <f t="shared" si="1"/>
        <v>88945</v>
      </c>
      <c r="F102" s="70">
        <v>70800</v>
      </c>
      <c r="G102" s="70">
        <v>260</v>
      </c>
      <c r="H102" s="70">
        <v>41</v>
      </c>
      <c r="I102" s="49"/>
      <c r="J102" s="49"/>
    </row>
    <row r="103" spans="2:10" ht="18" customHeight="1">
      <c r="B103" s="49" t="s">
        <v>198</v>
      </c>
      <c r="C103" s="49" t="s">
        <v>199</v>
      </c>
      <c r="D103" s="50" t="s">
        <v>157</v>
      </c>
      <c r="E103" s="70">
        <f t="shared" si="1"/>
        <v>2401.5149999999999</v>
      </c>
      <c r="F103" s="70">
        <v>1911.6</v>
      </c>
      <c r="G103" s="70">
        <v>7.02</v>
      </c>
      <c r="H103" s="70">
        <v>1.107</v>
      </c>
      <c r="I103" s="49"/>
      <c r="J103" s="49"/>
    </row>
    <row r="104" spans="2:10" ht="18" customHeight="1">
      <c r="B104" s="49" t="s">
        <v>198</v>
      </c>
      <c r="C104" s="49" t="s">
        <v>200</v>
      </c>
      <c r="D104" s="50" t="s">
        <v>156</v>
      </c>
      <c r="E104" s="70">
        <f t="shared" si="1"/>
        <v>71942.7</v>
      </c>
      <c r="F104" s="70">
        <v>70800</v>
      </c>
      <c r="G104" s="70">
        <v>3.9</v>
      </c>
      <c r="H104" s="70">
        <v>3.9</v>
      </c>
      <c r="I104" s="49"/>
      <c r="J104" s="49"/>
    </row>
    <row r="105" spans="2:10" ht="18" customHeight="1">
      <c r="B105" s="49" t="s">
        <v>198</v>
      </c>
      <c r="C105" s="49" t="s">
        <v>200</v>
      </c>
      <c r="D105" s="50" t="s">
        <v>157</v>
      </c>
      <c r="E105" s="70">
        <f t="shared" si="1"/>
        <v>3068.5230919999999</v>
      </c>
      <c r="F105" s="70">
        <v>3019.7842999999998</v>
      </c>
      <c r="G105" s="70">
        <v>0.16634399999999999</v>
      </c>
      <c r="H105" s="70">
        <v>0.16634399999999999</v>
      </c>
      <c r="I105" s="49"/>
      <c r="J105" s="49"/>
    </row>
    <row r="106" spans="2:10" ht="18" customHeight="1">
      <c r="B106" s="49" t="s">
        <v>79</v>
      </c>
      <c r="C106" s="49" t="s">
        <v>201</v>
      </c>
      <c r="D106" s="50" t="s">
        <v>202</v>
      </c>
      <c r="E106" s="70">
        <f t="shared" si="1"/>
        <v>440</v>
      </c>
      <c r="F106" s="70">
        <v>440</v>
      </c>
      <c r="G106" s="71"/>
      <c r="H106" s="71"/>
      <c r="I106" s="49"/>
      <c r="J106" s="49"/>
    </row>
    <row r="107" spans="2:10" ht="18" customHeight="1">
      <c r="B107" s="49" t="s">
        <v>79</v>
      </c>
      <c r="C107" s="49" t="s">
        <v>203</v>
      </c>
      <c r="D107" s="50" t="s">
        <v>202</v>
      </c>
      <c r="E107" s="70">
        <f t="shared" si="1"/>
        <v>522</v>
      </c>
      <c r="F107" s="70">
        <v>522</v>
      </c>
      <c r="G107" s="71"/>
      <c r="H107" s="71"/>
      <c r="I107" s="49"/>
      <c r="J107" s="49"/>
    </row>
    <row r="108" spans="2:10" ht="18" customHeight="1">
      <c r="B108" s="49" t="s">
        <v>79</v>
      </c>
      <c r="C108" s="49" t="s">
        <v>204</v>
      </c>
      <c r="D108" s="50" t="s">
        <v>202</v>
      </c>
      <c r="E108" s="70">
        <f t="shared" si="1"/>
        <v>415</v>
      </c>
      <c r="F108" s="70">
        <v>415</v>
      </c>
      <c r="G108" s="71"/>
      <c r="H108" s="71"/>
      <c r="I108" s="49"/>
      <c r="J108" s="49"/>
    </row>
    <row r="109" spans="2:10" ht="18" customHeight="1">
      <c r="B109" s="49" t="s">
        <v>79</v>
      </c>
      <c r="C109" s="49" t="s">
        <v>205</v>
      </c>
      <c r="D109" s="50" t="s">
        <v>202</v>
      </c>
      <c r="E109" s="70">
        <f t="shared" si="1"/>
        <v>524</v>
      </c>
      <c r="F109" s="70">
        <v>524</v>
      </c>
      <c r="G109" s="71"/>
      <c r="H109" s="71"/>
      <c r="I109" s="49"/>
      <c r="J109" s="49"/>
    </row>
    <row r="110" spans="2:10" ht="18" customHeight="1">
      <c r="B110" s="49" t="s">
        <v>79</v>
      </c>
      <c r="C110" s="49" t="s">
        <v>206</v>
      </c>
      <c r="D110" s="50" t="s">
        <v>202</v>
      </c>
      <c r="E110" s="70">
        <f t="shared" si="1"/>
        <v>380</v>
      </c>
      <c r="F110" s="70">
        <v>380</v>
      </c>
      <c r="G110" s="71"/>
      <c r="H110" s="71"/>
      <c r="I110" s="49"/>
      <c r="J110" s="49"/>
    </row>
    <row r="111" spans="2:10" ht="18" customHeight="1">
      <c r="B111" s="49" t="s">
        <v>79</v>
      </c>
      <c r="C111" s="49" t="s">
        <v>207</v>
      </c>
      <c r="D111" s="50" t="s">
        <v>202</v>
      </c>
      <c r="E111" s="70">
        <f t="shared" si="1"/>
        <v>383</v>
      </c>
      <c r="F111" s="70">
        <v>383</v>
      </c>
      <c r="G111" s="71"/>
      <c r="H111" s="71"/>
      <c r="I111" s="49"/>
      <c r="J111" s="49"/>
    </row>
    <row r="112" spans="2:10" ht="18" customHeight="1">
      <c r="B112" s="49" t="s">
        <v>79</v>
      </c>
      <c r="C112" s="49" t="s">
        <v>208</v>
      </c>
      <c r="D112" s="50" t="s">
        <v>202</v>
      </c>
      <c r="E112" s="70">
        <f t="shared" si="1"/>
        <v>223</v>
      </c>
      <c r="F112" s="70">
        <v>223</v>
      </c>
      <c r="G112" s="71"/>
      <c r="H112" s="71"/>
      <c r="I112" s="49"/>
      <c r="J112" s="49"/>
    </row>
    <row r="113" spans="2:10" ht="18" customHeight="1">
      <c r="B113" s="49" t="s">
        <v>79</v>
      </c>
      <c r="C113" s="49" t="s">
        <v>209</v>
      </c>
      <c r="D113" s="50" t="s">
        <v>202</v>
      </c>
      <c r="E113" s="70">
        <f t="shared" si="1"/>
        <v>595</v>
      </c>
      <c r="F113" s="70">
        <v>595</v>
      </c>
      <c r="G113" s="71"/>
      <c r="H113" s="71"/>
      <c r="I113" s="49"/>
      <c r="J113" s="49"/>
    </row>
    <row r="114" spans="2:10" ht="18" customHeight="1">
      <c r="B114" s="49" t="s">
        <v>79</v>
      </c>
      <c r="C114" s="49" t="s">
        <v>210</v>
      </c>
      <c r="D114" s="50" t="s">
        <v>202</v>
      </c>
      <c r="E114" s="70">
        <f t="shared" si="1"/>
        <v>318</v>
      </c>
      <c r="F114" s="70">
        <v>318</v>
      </c>
      <c r="G114" s="71"/>
      <c r="H114" s="71"/>
      <c r="I114" s="49"/>
      <c r="J114" s="49"/>
    </row>
    <row r="115" spans="2:10" ht="18" customHeight="1">
      <c r="B115" s="49" t="s">
        <v>79</v>
      </c>
      <c r="C115" s="49" t="s">
        <v>211</v>
      </c>
      <c r="D115" s="50" t="s">
        <v>202</v>
      </c>
      <c r="E115" s="70">
        <f t="shared" si="1"/>
        <v>298</v>
      </c>
      <c r="F115" s="70">
        <v>298</v>
      </c>
      <c r="G115" s="71"/>
      <c r="H115" s="71"/>
      <c r="I115" s="49"/>
      <c r="J115" s="49"/>
    </row>
    <row r="116" spans="2:10" ht="18" customHeight="1">
      <c r="B116" s="49" t="s">
        <v>79</v>
      </c>
      <c r="C116" s="49" t="s">
        <v>212</v>
      </c>
      <c r="D116" s="50" t="s">
        <v>202</v>
      </c>
      <c r="E116" s="70">
        <f t="shared" si="1"/>
        <v>477</v>
      </c>
      <c r="F116" s="70">
        <v>477</v>
      </c>
      <c r="G116" s="71"/>
      <c r="H116" s="71"/>
      <c r="I116" s="49"/>
      <c r="J116" s="49"/>
    </row>
    <row r="117" spans="2:10" ht="18" customHeight="1">
      <c r="B117" s="49" t="s">
        <v>79</v>
      </c>
      <c r="C117" s="49" t="s">
        <v>213</v>
      </c>
      <c r="D117" s="50" t="s">
        <v>202</v>
      </c>
      <c r="E117" s="70"/>
      <c r="F117" s="51" t="s">
        <v>214</v>
      </c>
      <c r="G117" s="71"/>
      <c r="H117" s="71"/>
      <c r="I117" s="49"/>
      <c r="J117" s="49"/>
    </row>
    <row r="118" spans="2:10" ht="18" customHeight="1">
      <c r="B118" s="49" t="s">
        <v>79</v>
      </c>
      <c r="C118" s="49" t="s">
        <v>215</v>
      </c>
      <c r="D118" s="50" t="s">
        <v>202</v>
      </c>
      <c r="E118" s="70">
        <f t="shared" si="1"/>
        <v>527.4</v>
      </c>
      <c r="F118" s="70">
        <v>527.4</v>
      </c>
      <c r="G118" s="71"/>
      <c r="H118" s="71"/>
      <c r="I118" s="49"/>
      <c r="J118" s="49"/>
    </row>
    <row r="119" spans="2:10" ht="18" customHeight="1">
      <c r="B119" s="49" t="s">
        <v>79</v>
      </c>
      <c r="C119" s="49" t="s">
        <v>216</v>
      </c>
      <c r="D119" s="50" t="s">
        <v>202</v>
      </c>
      <c r="E119" s="70">
        <f t="shared" si="1"/>
        <v>547.9</v>
      </c>
      <c r="F119" s="70">
        <v>547.9</v>
      </c>
      <c r="G119" s="71"/>
      <c r="H119" s="71"/>
      <c r="I119" s="49"/>
      <c r="J119" s="49"/>
    </row>
    <row r="120" spans="2:10" ht="18" customHeight="1">
      <c r="B120" s="49" t="s">
        <v>79</v>
      </c>
      <c r="C120" s="49" t="s">
        <v>217</v>
      </c>
      <c r="D120" s="50" t="s">
        <v>202</v>
      </c>
      <c r="E120" s="70">
        <f t="shared" si="1"/>
        <v>353.2</v>
      </c>
      <c r="F120" s="70">
        <v>353.2</v>
      </c>
      <c r="G120" s="71"/>
      <c r="H120" s="71"/>
      <c r="I120" s="49"/>
      <c r="J120" s="49"/>
    </row>
    <row r="121" spans="2:10" ht="18" customHeight="1">
      <c r="B121" s="49" t="s">
        <v>79</v>
      </c>
      <c r="C121" s="49" t="s">
        <v>218</v>
      </c>
      <c r="D121" s="50" t="s">
        <v>202</v>
      </c>
      <c r="E121" s="70">
        <f t="shared" si="1"/>
        <v>198.1</v>
      </c>
      <c r="F121" s="70">
        <v>198.1</v>
      </c>
      <c r="G121" s="71"/>
      <c r="H121" s="71"/>
      <c r="I121" s="49"/>
      <c r="J121" s="49"/>
    </row>
    <row r="122" spans="2:10" ht="18" customHeight="1">
      <c r="B122" s="49" t="s">
        <v>79</v>
      </c>
      <c r="C122" s="49" t="s">
        <v>219</v>
      </c>
      <c r="D122" s="50" t="s">
        <v>220</v>
      </c>
      <c r="E122" s="70">
        <f t="shared" si="1"/>
        <v>1416.2</v>
      </c>
      <c r="F122" s="70">
        <v>1416.2</v>
      </c>
      <c r="G122" s="71"/>
      <c r="H122" s="71"/>
      <c r="I122" s="49"/>
      <c r="J122" s="49"/>
    </row>
    <row r="123" spans="2:10" ht="18" customHeight="1">
      <c r="B123" s="49" t="s">
        <v>79</v>
      </c>
      <c r="C123" s="49" t="s">
        <v>221</v>
      </c>
      <c r="D123" s="50" t="s">
        <v>220</v>
      </c>
      <c r="E123" s="70">
        <f t="shared" si="1"/>
        <v>0</v>
      </c>
      <c r="F123" s="70"/>
      <c r="G123" s="71"/>
      <c r="H123" s="71"/>
      <c r="I123" s="49" t="s">
        <v>222</v>
      </c>
      <c r="J123" s="49"/>
    </row>
    <row r="124" spans="2:10" ht="18" customHeight="1">
      <c r="B124" s="49" t="s">
        <v>79</v>
      </c>
      <c r="C124" s="49" t="s">
        <v>223</v>
      </c>
      <c r="D124" s="50" t="s">
        <v>220</v>
      </c>
      <c r="E124" s="70">
        <f t="shared" si="1"/>
        <v>0</v>
      </c>
      <c r="F124" s="70"/>
      <c r="G124" s="71"/>
      <c r="H124" s="71"/>
      <c r="I124" s="49" t="s">
        <v>224</v>
      </c>
      <c r="J124" s="49"/>
    </row>
    <row r="125" spans="2:10" ht="18" customHeight="1">
      <c r="B125" s="49" t="s">
        <v>79</v>
      </c>
      <c r="C125" s="49" t="s">
        <v>225</v>
      </c>
      <c r="D125" s="50" t="s">
        <v>226</v>
      </c>
      <c r="E125" s="70">
        <f t="shared" si="1"/>
        <v>92990</v>
      </c>
      <c r="F125" s="70">
        <v>92990</v>
      </c>
      <c r="G125" s="71"/>
      <c r="H125" s="71"/>
      <c r="I125" s="49"/>
      <c r="J125" s="49"/>
    </row>
    <row r="126" spans="2:10" ht="18" customHeight="1">
      <c r="B126" s="49" t="s">
        <v>79</v>
      </c>
      <c r="C126" s="49" t="s">
        <v>227</v>
      </c>
      <c r="D126" s="50" t="s">
        <v>228</v>
      </c>
      <c r="E126" s="70">
        <f t="shared" si="1"/>
        <v>2385</v>
      </c>
      <c r="F126" s="71"/>
      <c r="G126" s="71"/>
      <c r="H126" s="70">
        <v>9</v>
      </c>
      <c r="I126" s="49"/>
      <c r="J126" s="49"/>
    </row>
    <row r="127" spans="2:10" ht="18" customHeight="1">
      <c r="B127" s="49" t="s">
        <v>79</v>
      </c>
      <c r="C127" s="49" t="s">
        <v>229</v>
      </c>
      <c r="D127" s="50" t="s">
        <v>228</v>
      </c>
      <c r="E127" s="70">
        <f t="shared" si="1"/>
        <v>1855</v>
      </c>
      <c r="F127" s="71"/>
      <c r="G127" s="71"/>
      <c r="H127" s="70">
        <v>7</v>
      </c>
      <c r="I127" s="49"/>
      <c r="J127" s="49"/>
    </row>
    <row r="128" spans="2:10" ht="18" customHeight="1">
      <c r="B128" s="49" t="s">
        <v>79</v>
      </c>
      <c r="C128" s="49" t="s">
        <v>230</v>
      </c>
      <c r="D128" s="50" t="s">
        <v>228</v>
      </c>
      <c r="E128" s="70">
        <f t="shared" si="1"/>
        <v>1325</v>
      </c>
      <c r="F128" s="71"/>
      <c r="G128" s="71"/>
      <c r="H128" s="70">
        <v>5</v>
      </c>
      <c r="I128" s="49"/>
      <c r="J128" s="49"/>
    </row>
    <row r="129" spans="2:10" ht="18" customHeight="1">
      <c r="B129" s="49" t="s">
        <v>79</v>
      </c>
      <c r="C129" s="49" t="s">
        <v>231</v>
      </c>
      <c r="D129" s="50" t="s">
        <v>228</v>
      </c>
      <c r="E129" s="70">
        <f t="shared" si="1"/>
        <v>2125.3000000000002</v>
      </c>
      <c r="F129" s="71"/>
      <c r="G129" s="71"/>
      <c r="H129" s="70">
        <v>8.02</v>
      </c>
      <c r="I129" s="49"/>
      <c r="J129" s="49"/>
    </row>
    <row r="130" spans="2:10" ht="18" customHeight="1">
      <c r="B130" s="49" t="s">
        <v>79</v>
      </c>
      <c r="C130" s="49" t="s">
        <v>232</v>
      </c>
      <c r="D130" s="50" t="s">
        <v>233</v>
      </c>
      <c r="E130" s="70">
        <f t="shared" si="1"/>
        <v>79500</v>
      </c>
      <c r="F130" s="71"/>
      <c r="G130" s="71"/>
      <c r="H130" s="70">
        <v>300</v>
      </c>
      <c r="I130" s="49"/>
      <c r="J130" s="49"/>
    </row>
    <row r="131" spans="2:10" ht="18" customHeight="1">
      <c r="B131" s="49" t="s">
        <v>79</v>
      </c>
      <c r="C131" s="49" t="s">
        <v>234</v>
      </c>
      <c r="D131" s="50" t="s">
        <v>233</v>
      </c>
      <c r="E131" s="70">
        <f t="shared" si="1"/>
        <v>74730</v>
      </c>
      <c r="F131" s="71"/>
      <c r="G131" s="71"/>
      <c r="H131" s="70">
        <v>282</v>
      </c>
      <c r="I131" s="49"/>
      <c r="J131" s="49"/>
    </row>
    <row r="132" spans="2:10" ht="18" customHeight="1">
      <c r="B132" s="49" t="s">
        <v>79</v>
      </c>
      <c r="C132" s="49" t="s">
        <v>235</v>
      </c>
      <c r="D132" s="50" t="s">
        <v>236</v>
      </c>
      <c r="E132" s="70">
        <f t="shared" si="1"/>
        <v>600</v>
      </c>
      <c r="F132" s="70">
        <v>600</v>
      </c>
      <c r="G132" s="71"/>
      <c r="H132" s="71"/>
      <c r="I132" s="49"/>
      <c r="J132" s="49"/>
    </row>
    <row r="133" spans="2:10" ht="18" customHeight="1">
      <c r="B133" s="49" t="s">
        <v>237</v>
      </c>
      <c r="C133" s="49" t="s">
        <v>238</v>
      </c>
      <c r="D133" s="50" t="s">
        <v>156</v>
      </c>
      <c r="E133" s="70">
        <f t="shared" si="1"/>
        <v>101900</v>
      </c>
      <c r="F133" s="70">
        <v>100000</v>
      </c>
      <c r="G133" s="70">
        <v>30</v>
      </c>
      <c r="H133" s="70">
        <v>4</v>
      </c>
      <c r="I133" s="49"/>
      <c r="J133" s="49"/>
    </row>
    <row r="134" spans="2:10" ht="18" customHeight="1">
      <c r="B134" s="49" t="s">
        <v>237</v>
      </c>
      <c r="C134" s="49" t="s">
        <v>238</v>
      </c>
      <c r="D134" s="50" t="s">
        <v>157</v>
      </c>
      <c r="E134" s="70">
        <f t="shared" si="1"/>
        <v>1589.64</v>
      </c>
      <c r="F134" s="70">
        <v>1560</v>
      </c>
      <c r="G134" s="70">
        <v>0.46800000000000003</v>
      </c>
      <c r="H134" s="70">
        <v>6.2399999999999997E-2</v>
      </c>
      <c r="I134" s="49"/>
      <c r="J134" s="49"/>
    </row>
    <row r="135" spans="2:10" ht="18" customHeight="1">
      <c r="B135" s="49" t="s">
        <v>237</v>
      </c>
      <c r="C135" s="49" t="s">
        <v>239</v>
      </c>
      <c r="D135" s="50" t="s">
        <v>156</v>
      </c>
      <c r="E135" s="70">
        <f t="shared" si="1"/>
        <v>113900</v>
      </c>
      <c r="F135" s="70">
        <v>112000</v>
      </c>
      <c r="G135" s="70">
        <v>30</v>
      </c>
      <c r="H135" s="70">
        <v>4</v>
      </c>
      <c r="I135" s="70"/>
      <c r="J135" s="49"/>
    </row>
    <row r="136" spans="2:10" ht="18" customHeight="1">
      <c r="B136" s="49" t="s">
        <v>237</v>
      </c>
      <c r="C136" s="49" t="s">
        <v>239</v>
      </c>
      <c r="D136" s="50" t="s">
        <v>157</v>
      </c>
      <c r="E136" s="70">
        <f t="shared" si="1"/>
        <v>1428.8526670000001</v>
      </c>
      <c r="F136" s="49">
        <v>1405.0175999999999</v>
      </c>
      <c r="G136" s="49">
        <v>0.37634400000000001</v>
      </c>
      <c r="H136" s="49">
        <v>5.0179000000000001E-2</v>
      </c>
      <c r="I136" s="49"/>
      <c r="J136" s="49"/>
    </row>
    <row r="137" spans="2:10" ht="18" customHeight="1">
      <c r="B137" s="49" t="s">
        <v>237</v>
      </c>
      <c r="C137" s="49" t="s">
        <v>240</v>
      </c>
      <c r="D137" s="50" t="s">
        <v>156</v>
      </c>
      <c r="E137" s="70">
        <f t="shared" si="1"/>
        <v>54654.5</v>
      </c>
      <c r="F137" s="70">
        <v>54600</v>
      </c>
      <c r="G137" s="70">
        <v>1</v>
      </c>
      <c r="H137" s="70">
        <v>0.1</v>
      </c>
      <c r="I137" s="49"/>
      <c r="J137" s="49"/>
    </row>
    <row r="138" spans="2:10" ht="18" customHeight="1">
      <c r="B138" s="49" t="s">
        <v>237</v>
      </c>
      <c r="C138" s="49" t="s">
        <v>240</v>
      </c>
      <c r="D138" s="50" t="s">
        <v>165</v>
      </c>
      <c r="E138" s="70">
        <f t="shared" si="1"/>
        <v>12569.879199000001</v>
      </c>
      <c r="F138" s="49">
        <v>12557.344800000001</v>
      </c>
      <c r="G138" s="49">
        <v>0.229988</v>
      </c>
      <c r="H138" s="49">
        <v>2.2998999999999999E-2</v>
      </c>
      <c r="I138" s="49"/>
      <c r="J138" s="49"/>
    </row>
    <row r="139" spans="2:10" ht="18" customHeight="1">
      <c r="B139" s="49" t="s">
        <v>241</v>
      </c>
      <c r="C139" s="49" t="s">
        <v>242</v>
      </c>
      <c r="D139" s="50" t="s">
        <v>243</v>
      </c>
      <c r="E139" s="70">
        <v>12400</v>
      </c>
      <c r="F139" s="70"/>
      <c r="G139" s="70"/>
      <c r="H139" s="70"/>
      <c r="I139" s="49" t="s">
        <v>244</v>
      </c>
      <c r="J139" s="49" t="s">
        <v>245</v>
      </c>
    </row>
    <row r="140" spans="2:10" ht="18" customHeight="1">
      <c r="B140" s="49" t="s">
        <v>241</v>
      </c>
      <c r="C140" s="49" t="s">
        <v>246</v>
      </c>
      <c r="D140" s="50" t="s">
        <v>243</v>
      </c>
      <c r="E140" s="70">
        <v>677</v>
      </c>
      <c r="F140" s="70"/>
      <c r="G140" s="70"/>
      <c r="H140" s="70"/>
      <c r="I140" s="49" t="s">
        <v>244</v>
      </c>
      <c r="J140" s="49" t="s">
        <v>247</v>
      </c>
    </row>
    <row r="141" spans="2:10" ht="18" customHeight="1">
      <c r="B141" s="49" t="s">
        <v>241</v>
      </c>
      <c r="C141" s="49" t="s">
        <v>248</v>
      </c>
      <c r="D141" s="50" t="s">
        <v>243</v>
      </c>
      <c r="E141" s="70">
        <v>116</v>
      </c>
      <c r="F141" s="70"/>
      <c r="G141" s="70"/>
      <c r="H141" s="70"/>
      <c r="I141" s="49" t="s">
        <v>244</v>
      </c>
      <c r="J141" s="49" t="s">
        <v>249</v>
      </c>
    </row>
    <row r="142" spans="2:10" ht="18" customHeight="1">
      <c r="B142" s="49" t="s">
        <v>241</v>
      </c>
      <c r="C142" s="49" t="s">
        <v>250</v>
      </c>
      <c r="D142" s="50" t="s">
        <v>243</v>
      </c>
      <c r="E142" s="70">
        <v>3170</v>
      </c>
      <c r="F142" s="70"/>
      <c r="G142" s="70"/>
      <c r="H142" s="70"/>
      <c r="I142" s="49" t="s">
        <v>244</v>
      </c>
      <c r="J142" s="49" t="s">
        <v>251</v>
      </c>
    </row>
    <row r="143" spans="2:10" ht="18" customHeight="1">
      <c r="B143" s="49" t="s">
        <v>241</v>
      </c>
      <c r="C143" s="49" t="s">
        <v>252</v>
      </c>
      <c r="D143" s="50" t="s">
        <v>243</v>
      </c>
      <c r="E143" s="70">
        <v>1120</v>
      </c>
      <c r="F143" s="70"/>
      <c r="G143" s="70"/>
      <c r="H143" s="70"/>
      <c r="I143" s="49" t="s">
        <v>244</v>
      </c>
      <c r="J143" s="49" t="s">
        <v>253</v>
      </c>
    </row>
    <row r="144" spans="2:10" ht="18" customHeight="1">
      <c r="B144" s="49" t="s">
        <v>241</v>
      </c>
      <c r="C144" s="49" t="s">
        <v>254</v>
      </c>
      <c r="D144" s="50" t="s">
        <v>243</v>
      </c>
      <c r="E144" s="70">
        <v>1300</v>
      </c>
      <c r="F144" s="70"/>
      <c r="G144" s="70"/>
      <c r="H144" s="70"/>
      <c r="I144" s="49" t="s">
        <v>244</v>
      </c>
      <c r="J144" s="49" t="s">
        <v>255</v>
      </c>
    </row>
    <row r="145" spans="2:10" ht="18" customHeight="1">
      <c r="B145" s="49" t="s">
        <v>241</v>
      </c>
      <c r="C145" s="49" t="s">
        <v>256</v>
      </c>
      <c r="D145" s="50" t="s">
        <v>243</v>
      </c>
      <c r="E145" s="70">
        <v>328</v>
      </c>
      <c r="F145" s="70"/>
      <c r="G145" s="70"/>
      <c r="H145" s="70"/>
      <c r="I145" s="49" t="s">
        <v>244</v>
      </c>
      <c r="J145" s="49" t="s">
        <v>257</v>
      </c>
    </row>
    <row r="146" spans="2:10" ht="18" customHeight="1">
      <c r="B146" s="49" t="s">
        <v>241</v>
      </c>
      <c r="C146" s="49" t="s">
        <v>258</v>
      </c>
      <c r="D146" s="50" t="s">
        <v>243</v>
      </c>
      <c r="E146" s="70">
        <v>4800</v>
      </c>
      <c r="F146" s="70"/>
      <c r="G146" s="70"/>
      <c r="H146" s="70"/>
      <c r="I146" s="49" t="s">
        <v>244</v>
      </c>
      <c r="J146" s="49" t="s">
        <v>259</v>
      </c>
    </row>
    <row r="147" spans="2:10" ht="18" customHeight="1">
      <c r="B147" s="49" t="s">
        <v>241</v>
      </c>
      <c r="C147" s="49" t="s">
        <v>260</v>
      </c>
      <c r="D147" s="50" t="s">
        <v>243</v>
      </c>
      <c r="E147" s="70">
        <v>138</v>
      </c>
      <c r="F147" s="70"/>
      <c r="G147" s="70"/>
      <c r="H147" s="70"/>
      <c r="I147" s="49" t="s">
        <v>244</v>
      </c>
      <c r="J147" s="49" t="s">
        <v>261</v>
      </c>
    </row>
    <row r="148" spans="2:10" ht="18" customHeight="1">
      <c r="B148" s="49" t="s">
        <v>241</v>
      </c>
      <c r="C148" s="49" t="s">
        <v>262</v>
      </c>
      <c r="D148" s="50" t="s">
        <v>243</v>
      </c>
      <c r="E148" s="70">
        <v>3350</v>
      </c>
      <c r="F148" s="70"/>
      <c r="G148" s="70"/>
      <c r="H148" s="70"/>
      <c r="I148" s="49" t="s">
        <v>244</v>
      </c>
      <c r="J148" s="49" t="s">
        <v>263</v>
      </c>
    </row>
    <row r="149" spans="2:10" ht="18" customHeight="1">
      <c r="B149" s="49" t="s">
        <v>241</v>
      </c>
      <c r="C149" s="49" t="s">
        <v>264</v>
      </c>
      <c r="D149" s="50" t="s">
        <v>243</v>
      </c>
      <c r="E149" s="70">
        <v>8060</v>
      </c>
      <c r="F149" s="70"/>
      <c r="G149" s="70"/>
      <c r="H149" s="70"/>
      <c r="I149" s="49" t="s">
        <v>244</v>
      </c>
      <c r="J149" s="49" t="s">
        <v>265</v>
      </c>
    </row>
    <row r="150" spans="2:10" ht="18" customHeight="1">
      <c r="B150" s="49" t="s">
        <v>241</v>
      </c>
      <c r="C150" s="49" t="s">
        <v>266</v>
      </c>
      <c r="D150" s="50" t="s">
        <v>243</v>
      </c>
      <c r="E150" s="70">
        <v>858</v>
      </c>
      <c r="F150" s="70"/>
      <c r="G150" s="70"/>
      <c r="H150" s="70"/>
      <c r="I150" s="49" t="s">
        <v>244</v>
      </c>
      <c r="J150" s="49" t="s">
        <v>267</v>
      </c>
    </row>
    <row r="151" spans="2:10" ht="18" customHeight="1">
      <c r="B151" s="49" t="s">
        <v>241</v>
      </c>
      <c r="C151" s="49" t="s">
        <v>268</v>
      </c>
      <c r="D151" s="50" t="s">
        <v>243</v>
      </c>
      <c r="E151" s="70">
        <v>1650</v>
      </c>
      <c r="F151" s="70"/>
      <c r="G151" s="70"/>
      <c r="H151" s="70"/>
      <c r="I151" s="49" t="s">
        <v>244</v>
      </c>
      <c r="J151" s="49" t="s">
        <v>269</v>
      </c>
    </row>
    <row r="152" spans="2:10" ht="18" customHeight="1">
      <c r="B152" s="49" t="s">
        <v>241</v>
      </c>
      <c r="C152" s="49" t="s">
        <v>270</v>
      </c>
      <c r="D152" s="50" t="s">
        <v>243</v>
      </c>
      <c r="E152" s="70">
        <v>6630</v>
      </c>
      <c r="F152" s="70"/>
      <c r="G152" s="70"/>
      <c r="H152" s="70"/>
      <c r="I152" s="49" t="s">
        <v>271</v>
      </c>
      <c r="J152" s="49" t="s">
        <v>272</v>
      </c>
    </row>
    <row r="153" spans="2:10" ht="18" customHeight="1">
      <c r="B153" s="49" t="s">
        <v>241</v>
      </c>
      <c r="C153" s="49" t="s">
        <v>273</v>
      </c>
      <c r="D153" s="50" t="s">
        <v>243</v>
      </c>
      <c r="E153" s="70">
        <v>11100</v>
      </c>
      <c r="F153" s="70"/>
      <c r="G153" s="70"/>
      <c r="H153" s="70"/>
      <c r="I153" s="49" t="s">
        <v>271</v>
      </c>
      <c r="J153" s="49" t="s">
        <v>274</v>
      </c>
    </row>
    <row r="154" spans="2:10" ht="18" customHeight="1">
      <c r="B154" s="49" t="s">
        <v>241</v>
      </c>
      <c r="C154" s="49" t="s">
        <v>275</v>
      </c>
      <c r="D154" s="50" t="s">
        <v>243</v>
      </c>
      <c r="E154" s="70">
        <v>8900</v>
      </c>
      <c r="F154" s="70"/>
      <c r="G154" s="70"/>
      <c r="H154" s="70"/>
      <c r="I154" s="49" t="s">
        <v>271</v>
      </c>
      <c r="J154" s="49" t="s">
        <v>276</v>
      </c>
    </row>
    <row r="155" spans="2:10" ht="18" customHeight="1">
      <c r="B155" s="49" t="s">
        <v>241</v>
      </c>
      <c r="C155" s="49" t="s">
        <v>277</v>
      </c>
      <c r="D155" s="50" t="s">
        <v>243</v>
      </c>
      <c r="E155" s="70">
        <v>9540</v>
      </c>
      <c r="F155" s="70"/>
      <c r="G155" s="70"/>
      <c r="H155" s="70"/>
      <c r="I155" s="49" t="s">
        <v>271</v>
      </c>
      <c r="J155" s="49" t="s">
        <v>278</v>
      </c>
    </row>
    <row r="156" spans="2:10" ht="18" customHeight="1">
      <c r="B156" s="49" t="s">
        <v>241</v>
      </c>
      <c r="C156" s="49" t="s">
        <v>279</v>
      </c>
      <c r="D156" s="50" t="s">
        <v>243</v>
      </c>
      <c r="E156" s="70">
        <v>9200</v>
      </c>
      <c r="F156" s="70"/>
      <c r="G156" s="70"/>
      <c r="H156" s="70"/>
      <c r="I156" s="49" t="s">
        <v>271</v>
      </c>
      <c r="J156" s="49" t="s">
        <v>280</v>
      </c>
    </row>
    <row r="157" spans="2:10" ht="18" customHeight="1">
      <c r="B157" s="49" t="s">
        <v>241</v>
      </c>
      <c r="C157" s="49" t="s">
        <v>281</v>
      </c>
      <c r="D157" s="50" t="s">
        <v>243</v>
      </c>
      <c r="E157" s="70">
        <v>8550</v>
      </c>
      <c r="F157" s="70"/>
      <c r="G157" s="70"/>
      <c r="H157" s="70"/>
      <c r="I157" s="49" t="s">
        <v>271</v>
      </c>
      <c r="J157" s="49" t="s">
        <v>282</v>
      </c>
    </row>
    <row r="158" spans="2:10" ht="18" customHeight="1">
      <c r="B158" s="49" t="s">
        <v>241</v>
      </c>
      <c r="C158" s="49" t="s">
        <v>283</v>
      </c>
      <c r="D158" s="50" t="s">
        <v>243</v>
      </c>
      <c r="E158" s="70">
        <v>7910</v>
      </c>
      <c r="F158" s="70"/>
      <c r="G158" s="70"/>
      <c r="H158" s="70"/>
      <c r="I158" s="49" t="s">
        <v>271</v>
      </c>
      <c r="J158" s="49" t="s">
        <v>284</v>
      </c>
    </row>
    <row r="159" spans="2:10" ht="18" customHeight="1">
      <c r="B159" s="49" t="s">
        <v>241</v>
      </c>
      <c r="C159" s="49" t="s">
        <v>285</v>
      </c>
      <c r="D159" s="50" t="s">
        <v>243</v>
      </c>
      <c r="E159" s="70">
        <v>7190</v>
      </c>
      <c r="F159" s="70"/>
      <c r="G159" s="70"/>
      <c r="H159" s="70"/>
      <c r="I159" s="49" t="s">
        <v>271</v>
      </c>
      <c r="J159" s="49" t="s">
        <v>286</v>
      </c>
    </row>
    <row r="160" spans="2:10" ht="18" customHeight="1">
      <c r="B160" s="49" t="s">
        <v>241</v>
      </c>
      <c r="C160" s="49" t="s">
        <v>287</v>
      </c>
      <c r="D160" s="50" t="s">
        <v>243</v>
      </c>
      <c r="E160" s="70">
        <v>9200</v>
      </c>
      <c r="F160" s="70"/>
      <c r="G160" s="70"/>
      <c r="H160" s="70"/>
      <c r="I160" s="49" t="s">
        <v>271</v>
      </c>
      <c r="J160" s="49" t="s">
        <v>288</v>
      </c>
    </row>
    <row r="161" spans="2:10" ht="18" customHeight="1">
      <c r="B161" s="49" t="s">
        <v>241</v>
      </c>
      <c r="C161" s="49" t="s">
        <v>289</v>
      </c>
      <c r="D161" s="50" t="s">
        <v>243</v>
      </c>
      <c r="E161" s="70">
        <v>16</v>
      </c>
      <c r="F161" s="70"/>
      <c r="G161" s="70"/>
      <c r="H161" s="70"/>
      <c r="I161" s="49" t="s">
        <v>244</v>
      </c>
      <c r="J161" s="49" t="s">
        <v>290</v>
      </c>
    </row>
    <row r="162" spans="2:10" ht="18" customHeight="1">
      <c r="B162" s="49" t="s">
        <v>241</v>
      </c>
      <c r="C162" s="49" t="s">
        <v>291</v>
      </c>
      <c r="D162" s="50" t="s">
        <v>243</v>
      </c>
      <c r="E162" s="70">
        <v>4</v>
      </c>
      <c r="F162" s="70"/>
      <c r="G162" s="70"/>
      <c r="H162" s="70"/>
      <c r="I162" s="49" t="s">
        <v>244</v>
      </c>
      <c r="J162" s="49" t="s">
        <v>292</v>
      </c>
    </row>
    <row r="163" spans="2:10" ht="18" customHeight="1">
      <c r="B163" s="49" t="s">
        <v>241</v>
      </c>
      <c r="C163" s="49" t="s">
        <v>293</v>
      </c>
      <c r="D163" s="50" t="s">
        <v>243</v>
      </c>
      <c r="E163" s="70">
        <v>1210</v>
      </c>
      <c r="F163" s="70"/>
      <c r="G163" s="70"/>
      <c r="H163" s="70"/>
      <c r="I163" s="49" t="s">
        <v>244</v>
      </c>
      <c r="J163" s="49" t="s">
        <v>294</v>
      </c>
    </row>
    <row r="164" spans="2:10" ht="18" customHeight="1">
      <c r="B164" s="49" t="s">
        <v>241</v>
      </c>
      <c r="C164" s="49" t="s">
        <v>295</v>
      </c>
      <c r="D164" s="50" t="s">
        <v>243</v>
      </c>
      <c r="E164" s="70">
        <v>1330</v>
      </c>
      <c r="F164" s="70"/>
      <c r="G164" s="70"/>
      <c r="H164" s="70"/>
      <c r="I164" s="49" t="s">
        <v>244</v>
      </c>
      <c r="J164" s="49" t="s">
        <v>296</v>
      </c>
    </row>
    <row r="165" spans="2:10" ht="18" customHeight="1">
      <c r="B165" s="49" t="s">
        <v>241</v>
      </c>
      <c r="C165" s="49" t="s">
        <v>297</v>
      </c>
      <c r="D165" s="50" t="s">
        <v>243</v>
      </c>
      <c r="E165" s="70">
        <v>716</v>
      </c>
      <c r="F165" s="70"/>
      <c r="G165" s="70"/>
      <c r="H165" s="70"/>
      <c r="I165" s="49" t="s">
        <v>244</v>
      </c>
      <c r="J165" s="49" t="s">
        <v>298</v>
      </c>
    </row>
    <row r="166" spans="2:10" ht="18" customHeight="1">
      <c r="B166" s="49" t="s">
        <v>241</v>
      </c>
      <c r="C166" s="49" t="s">
        <v>299</v>
      </c>
      <c r="D166" s="50" t="s">
        <v>243</v>
      </c>
      <c r="E166" s="70">
        <v>804</v>
      </c>
      <c r="F166" s="70"/>
      <c r="G166" s="70"/>
      <c r="H166" s="70"/>
      <c r="I166" s="49" t="s">
        <v>244</v>
      </c>
      <c r="J166" s="49" t="s">
        <v>300</v>
      </c>
    </row>
    <row r="167" spans="2:10" ht="18" customHeight="1">
      <c r="B167" s="49" t="s">
        <v>241</v>
      </c>
      <c r="C167" s="49" t="s">
        <v>301</v>
      </c>
      <c r="D167" s="50" t="s">
        <v>243</v>
      </c>
      <c r="E167" s="70">
        <v>18</v>
      </c>
      <c r="F167" s="70"/>
      <c r="G167" s="70"/>
      <c r="H167" s="70"/>
      <c r="I167" s="49" t="s">
        <v>244</v>
      </c>
      <c r="J167" s="49" t="s">
        <v>302</v>
      </c>
    </row>
    <row r="168" spans="2:10" ht="18" customHeight="1">
      <c r="B168" s="49" t="s">
        <v>241</v>
      </c>
      <c r="C168" s="49" t="s">
        <v>303</v>
      </c>
      <c r="D168" s="50" t="s">
        <v>243</v>
      </c>
      <c r="E168" s="70">
        <v>15</v>
      </c>
      <c r="F168" s="70"/>
      <c r="G168" s="70"/>
      <c r="H168" s="70"/>
      <c r="I168" s="49" t="s">
        <v>244</v>
      </c>
      <c r="J168" s="49" t="s">
        <v>302</v>
      </c>
    </row>
    <row r="169" spans="2:10" ht="18" customHeight="1">
      <c r="B169" s="49" t="s">
        <v>241</v>
      </c>
      <c r="C169" s="49" t="s">
        <v>304</v>
      </c>
      <c r="D169" s="50" t="s">
        <v>243</v>
      </c>
      <c r="E169" s="70">
        <v>21</v>
      </c>
      <c r="F169" s="70"/>
      <c r="G169" s="70"/>
      <c r="H169" s="70"/>
      <c r="I169" s="49" t="s">
        <v>244</v>
      </c>
      <c r="J169" s="49" t="s">
        <v>302</v>
      </c>
    </row>
    <row r="170" spans="2:10" ht="18" customHeight="1">
      <c r="B170" s="49" t="s">
        <v>241</v>
      </c>
      <c r="C170" s="49" t="s">
        <v>305</v>
      </c>
      <c r="D170" s="50" t="s">
        <v>243</v>
      </c>
      <c r="E170" s="70">
        <v>1902</v>
      </c>
      <c r="F170" s="70"/>
      <c r="G170" s="70"/>
      <c r="H170" s="70"/>
      <c r="I170" s="49" t="s">
        <v>244</v>
      </c>
      <c r="J170" s="49" t="s">
        <v>302</v>
      </c>
    </row>
    <row r="171" spans="2:10" ht="18" customHeight="1">
      <c r="B171" s="49" t="s">
        <v>241</v>
      </c>
      <c r="C171" s="49" t="s">
        <v>306</v>
      </c>
      <c r="D171" s="50" t="s">
        <v>243</v>
      </c>
      <c r="E171" s="70">
        <v>1205</v>
      </c>
      <c r="F171" s="70"/>
      <c r="G171" s="70"/>
      <c r="H171" s="70"/>
      <c r="I171" s="49" t="s">
        <v>244</v>
      </c>
      <c r="J171" s="49" t="s">
        <v>302</v>
      </c>
    </row>
    <row r="172" spans="2:10" ht="18" customHeight="1">
      <c r="B172" s="49" t="s">
        <v>241</v>
      </c>
      <c r="C172" s="49" t="s">
        <v>307</v>
      </c>
      <c r="D172" s="50" t="s">
        <v>243</v>
      </c>
      <c r="E172" s="70">
        <v>1780</v>
      </c>
      <c r="F172" s="70"/>
      <c r="G172" s="70"/>
      <c r="H172" s="70"/>
      <c r="I172" s="49" t="s">
        <v>244</v>
      </c>
      <c r="J172" s="49" t="s">
        <v>302</v>
      </c>
    </row>
    <row r="173" spans="2:10" ht="18" customHeight="1">
      <c r="B173" s="49" t="s">
        <v>241</v>
      </c>
      <c r="C173" s="49" t="s">
        <v>308</v>
      </c>
      <c r="D173" s="50" t="s">
        <v>243</v>
      </c>
      <c r="E173" s="70">
        <v>3471</v>
      </c>
      <c r="F173" s="70"/>
      <c r="G173" s="70"/>
      <c r="H173" s="70"/>
      <c r="I173" s="49" t="s">
        <v>244</v>
      </c>
      <c r="J173" s="49" t="s">
        <v>302</v>
      </c>
    </row>
    <row r="174" spans="2:10" ht="18" customHeight="1">
      <c r="B174" s="49" t="s">
        <v>241</v>
      </c>
      <c r="C174" s="49" t="s">
        <v>309</v>
      </c>
      <c r="D174" s="50" t="s">
        <v>243</v>
      </c>
      <c r="E174" s="70">
        <v>3943</v>
      </c>
      <c r="F174" s="70"/>
      <c r="G174" s="70"/>
      <c r="H174" s="70"/>
      <c r="I174" s="49" t="s">
        <v>244</v>
      </c>
      <c r="J174" s="49" t="s">
        <v>302</v>
      </c>
    </row>
    <row r="175" spans="2:10" ht="18" customHeight="1">
      <c r="B175" s="49" t="s">
        <v>241</v>
      </c>
      <c r="C175" s="49" t="s">
        <v>310</v>
      </c>
      <c r="D175" s="50" t="s">
        <v>243</v>
      </c>
      <c r="E175" s="70">
        <v>3920</v>
      </c>
      <c r="F175" s="70"/>
      <c r="G175" s="70"/>
      <c r="H175" s="70"/>
      <c r="I175" s="49" t="s">
        <v>244</v>
      </c>
      <c r="J175" s="49" t="s">
        <v>302</v>
      </c>
    </row>
    <row r="176" spans="2:10" ht="18" customHeight="1">
      <c r="B176" s="49" t="s">
        <v>241</v>
      </c>
      <c r="C176" s="49" t="s">
        <v>311</v>
      </c>
      <c r="D176" s="50" t="s">
        <v>243</v>
      </c>
      <c r="E176" s="51" t="s">
        <v>312</v>
      </c>
      <c r="F176" s="70"/>
      <c r="G176" s="70"/>
      <c r="H176" s="70"/>
      <c r="I176" s="49" t="s">
        <v>244</v>
      </c>
      <c r="J176" s="49" t="s">
        <v>302</v>
      </c>
    </row>
    <row r="177" spans="2:10" ht="18" customHeight="1">
      <c r="B177" s="49" t="s">
        <v>241</v>
      </c>
      <c r="C177" s="49" t="s">
        <v>313</v>
      </c>
      <c r="D177" s="50" t="s">
        <v>243</v>
      </c>
      <c r="E177" s="70">
        <v>1923</v>
      </c>
      <c r="F177" s="70"/>
      <c r="G177" s="70"/>
      <c r="H177" s="70"/>
      <c r="I177" s="49" t="s">
        <v>244</v>
      </c>
      <c r="J177" s="49" t="s">
        <v>302</v>
      </c>
    </row>
    <row r="178" spans="2:10" ht="18" customHeight="1">
      <c r="B178" s="49" t="s">
        <v>241</v>
      </c>
      <c r="C178" s="49" t="s">
        <v>314</v>
      </c>
      <c r="D178" s="50" t="s">
        <v>243</v>
      </c>
      <c r="E178" s="70">
        <v>2547</v>
      </c>
      <c r="F178" s="70"/>
      <c r="G178" s="70"/>
      <c r="H178" s="70"/>
      <c r="I178" s="49" t="s">
        <v>244</v>
      </c>
      <c r="J178" s="49" t="s">
        <v>302</v>
      </c>
    </row>
    <row r="179" spans="2:10" ht="18" customHeight="1">
      <c r="B179" s="49" t="s">
        <v>241</v>
      </c>
      <c r="C179" s="49" t="s">
        <v>315</v>
      </c>
      <c r="D179" s="50" t="s">
        <v>243</v>
      </c>
      <c r="E179" s="70">
        <v>1624</v>
      </c>
      <c r="F179" s="70"/>
      <c r="G179" s="70"/>
      <c r="H179" s="70"/>
      <c r="I179" s="49" t="s">
        <v>244</v>
      </c>
      <c r="J179" s="49" t="s">
        <v>302</v>
      </c>
    </row>
    <row r="180" spans="2:10" ht="18" customHeight="1">
      <c r="B180" s="49" t="s">
        <v>241</v>
      </c>
      <c r="C180" s="49" t="s">
        <v>316</v>
      </c>
      <c r="D180" s="50" t="s">
        <v>243</v>
      </c>
      <c r="E180" s="70">
        <v>1487</v>
      </c>
      <c r="F180" s="70"/>
      <c r="G180" s="70"/>
      <c r="H180" s="70"/>
      <c r="I180" s="49" t="s">
        <v>244</v>
      </c>
      <c r="J180" s="49" t="s">
        <v>302</v>
      </c>
    </row>
    <row r="181" spans="2:10" ht="18" customHeight="1">
      <c r="B181" s="49" t="s">
        <v>241</v>
      </c>
      <c r="C181" s="49" t="s">
        <v>317</v>
      </c>
      <c r="D181" s="50" t="s">
        <v>243</v>
      </c>
      <c r="E181" s="70">
        <v>1425</v>
      </c>
      <c r="F181" s="70"/>
      <c r="G181" s="70"/>
      <c r="H181" s="70"/>
      <c r="I181" s="49" t="s">
        <v>244</v>
      </c>
      <c r="J181" s="49" t="s">
        <v>302</v>
      </c>
    </row>
    <row r="182" spans="2:10" ht="18" customHeight="1">
      <c r="B182" s="49" t="s">
        <v>241</v>
      </c>
      <c r="C182" s="49" t="s">
        <v>318</v>
      </c>
      <c r="D182" s="50" t="s">
        <v>243</v>
      </c>
      <c r="E182" s="70">
        <v>1674</v>
      </c>
      <c r="F182" s="70"/>
      <c r="G182" s="70"/>
      <c r="H182" s="70"/>
      <c r="I182" s="49" t="s">
        <v>244</v>
      </c>
      <c r="J182" s="49" t="s">
        <v>302</v>
      </c>
    </row>
    <row r="183" spans="2:10" ht="18" customHeight="1">
      <c r="B183" s="49" t="s">
        <v>241</v>
      </c>
      <c r="C183" s="49" t="s">
        <v>319</v>
      </c>
      <c r="D183" s="50" t="s">
        <v>243</v>
      </c>
      <c r="E183" s="70">
        <v>2430</v>
      </c>
      <c r="F183" s="70"/>
      <c r="G183" s="70"/>
      <c r="H183" s="70"/>
      <c r="I183" s="49" t="s">
        <v>244</v>
      </c>
      <c r="J183" s="49" t="s">
        <v>302</v>
      </c>
    </row>
    <row r="184" spans="2:10" ht="18" customHeight="1">
      <c r="B184" s="49" t="s">
        <v>241</v>
      </c>
      <c r="C184" s="49" t="s">
        <v>320</v>
      </c>
      <c r="D184" s="50" t="s">
        <v>243</v>
      </c>
      <c r="E184" s="51" t="s">
        <v>312</v>
      </c>
      <c r="F184" s="70"/>
      <c r="G184" s="70"/>
      <c r="H184" s="70"/>
      <c r="I184" s="49" t="s">
        <v>244</v>
      </c>
      <c r="J184" s="49" t="s">
        <v>302</v>
      </c>
    </row>
    <row r="185" spans="2:10" ht="18" customHeight="1">
      <c r="B185" s="49" t="s">
        <v>241</v>
      </c>
      <c r="C185" s="49" t="s">
        <v>321</v>
      </c>
      <c r="D185" s="50" t="s">
        <v>243</v>
      </c>
      <c r="E185" s="51" t="s">
        <v>312</v>
      </c>
      <c r="F185" s="70"/>
      <c r="G185" s="70"/>
      <c r="H185" s="70"/>
      <c r="I185" s="49" t="s">
        <v>244</v>
      </c>
      <c r="J185" s="49" t="s">
        <v>302</v>
      </c>
    </row>
    <row r="186" spans="2:10" ht="18" customHeight="1">
      <c r="B186" s="49" t="s">
        <v>241</v>
      </c>
      <c r="C186" s="49" t="s">
        <v>322</v>
      </c>
      <c r="D186" s="50" t="s">
        <v>243</v>
      </c>
      <c r="E186" s="70">
        <v>1924</v>
      </c>
      <c r="F186" s="70"/>
      <c r="G186" s="70"/>
      <c r="H186" s="70"/>
      <c r="I186" s="49" t="s">
        <v>244</v>
      </c>
      <c r="J186" s="49" t="s">
        <v>302</v>
      </c>
    </row>
    <row r="187" spans="2:10" ht="18" customHeight="1">
      <c r="B187" s="49" t="s">
        <v>241</v>
      </c>
      <c r="C187" s="49" t="s">
        <v>323</v>
      </c>
      <c r="D187" s="50" t="s">
        <v>243</v>
      </c>
      <c r="E187" s="70">
        <v>2048</v>
      </c>
      <c r="F187" s="70"/>
      <c r="G187" s="70"/>
      <c r="H187" s="70"/>
      <c r="I187" s="49" t="s">
        <v>244</v>
      </c>
      <c r="J187" s="49" t="s">
        <v>302</v>
      </c>
    </row>
    <row r="188" spans="2:10" ht="18" customHeight="1">
      <c r="B188" s="49" t="s">
        <v>241</v>
      </c>
      <c r="C188" s="49" t="s">
        <v>324</v>
      </c>
      <c r="D188" s="50" t="s">
        <v>243</v>
      </c>
      <c r="E188" s="70">
        <v>15</v>
      </c>
      <c r="F188" s="70"/>
      <c r="G188" s="70"/>
      <c r="H188" s="70"/>
      <c r="I188" s="49" t="s">
        <v>244</v>
      </c>
      <c r="J188" s="49" t="s">
        <v>302</v>
      </c>
    </row>
    <row r="189" spans="2:10" ht="18" customHeight="1">
      <c r="B189" s="49" t="s">
        <v>241</v>
      </c>
      <c r="C189" s="49" t="s">
        <v>325</v>
      </c>
      <c r="D189" s="50" t="s">
        <v>243</v>
      </c>
      <c r="E189" s="70">
        <v>4</v>
      </c>
      <c r="F189" s="70"/>
      <c r="G189" s="70"/>
      <c r="H189" s="70"/>
      <c r="I189" s="49" t="s">
        <v>244</v>
      </c>
      <c r="J189" s="49" t="s">
        <v>302</v>
      </c>
    </row>
    <row r="190" spans="2:10" ht="18" customHeight="1">
      <c r="B190" s="49" t="s">
        <v>241</v>
      </c>
      <c r="C190" s="49" t="s">
        <v>326</v>
      </c>
      <c r="D190" s="50" t="s">
        <v>243</v>
      </c>
      <c r="E190" s="70">
        <v>445</v>
      </c>
      <c r="F190" s="70"/>
      <c r="G190" s="70"/>
      <c r="H190" s="70"/>
      <c r="I190" s="49" t="s">
        <v>244</v>
      </c>
      <c r="J190" s="49" t="s">
        <v>302</v>
      </c>
    </row>
    <row r="191" spans="2:10" ht="18" customHeight="1">
      <c r="B191" s="49" t="s">
        <v>241</v>
      </c>
      <c r="C191" s="49" t="s">
        <v>327</v>
      </c>
      <c r="D191" s="50" t="s">
        <v>243</v>
      </c>
      <c r="E191" s="70">
        <v>1945</v>
      </c>
      <c r="F191" s="70"/>
      <c r="G191" s="70"/>
      <c r="H191" s="70"/>
      <c r="I191" s="49" t="s">
        <v>244</v>
      </c>
      <c r="J191" s="49" t="s">
        <v>302</v>
      </c>
    </row>
    <row r="192" spans="2:10" ht="18" customHeight="1">
      <c r="B192" s="49" t="s">
        <v>241</v>
      </c>
      <c r="C192" s="49" t="s">
        <v>328</v>
      </c>
      <c r="D192" s="50" t="s">
        <v>243</v>
      </c>
      <c r="E192" s="51" t="s">
        <v>312</v>
      </c>
      <c r="F192" s="70"/>
      <c r="G192" s="70"/>
      <c r="H192" s="70"/>
      <c r="I192" s="49" t="s">
        <v>244</v>
      </c>
      <c r="J192" s="49" t="s">
        <v>302</v>
      </c>
    </row>
    <row r="193" spans="2:10" ht="18" customHeight="1">
      <c r="B193" s="49" t="s">
        <v>241</v>
      </c>
      <c r="C193" s="49" t="s">
        <v>329</v>
      </c>
      <c r="D193" s="50" t="s">
        <v>243</v>
      </c>
      <c r="E193" s="51" t="s">
        <v>312</v>
      </c>
      <c r="F193" s="70"/>
      <c r="G193" s="70"/>
      <c r="H193" s="70"/>
      <c r="I193" s="49" t="s">
        <v>244</v>
      </c>
      <c r="J193" s="49" t="s">
        <v>302</v>
      </c>
    </row>
    <row r="194" spans="2:10" ht="18" customHeight="1">
      <c r="B194" s="49" t="s">
        <v>241</v>
      </c>
      <c r="C194" s="49" t="s">
        <v>330</v>
      </c>
      <c r="D194" s="50" t="s">
        <v>243</v>
      </c>
      <c r="E194" s="70">
        <v>25</v>
      </c>
      <c r="F194" s="70"/>
      <c r="G194" s="70"/>
      <c r="H194" s="70"/>
      <c r="I194" s="49" t="s">
        <v>244</v>
      </c>
      <c r="J194" s="49" t="s">
        <v>302</v>
      </c>
    </row>
    <row r="195" spans="2:10" ht="18" customHeight="1">
      <c r="B195" s="49" t="s">
        <v>241</v>
      </c>
      <c r="C195" s="49" t="s">
        <v>331</v>
      </c>
      <c r="D195" s="50" t="s">
        <v>243</v>
      </c>
      <c r="E195" s="70">
        <v>104</v>
      </c>
      <c r="F195" s="70"/>
      <c r="G195" s="70"/>
      <c r="H195" s="70"/>
      <c r="I195" s="49" t="s">
        <v>244</v>
      </c>
      <c r="J195" s="49" t="s">
        <v>302</v>
      </c>
    </row>
    <row r="196" spans="2:10" ht="18" customHeight="1">
      <c r="B196" s="49" t="s">
        <v>241</v>
      </c>
      <c r="C196" s="49" t="s">
        <v>332</v>
      </c>
      <c r="D196" s="50" t="s">
        <v>243</v>
      </c>
      <c r="E196" s="70">
        <v>767</v>
      </c>
      <c r="F196" s="70"/>
      <c r="G196" s="70"/>
      <c r="H196" s="70"/>
      <c r="I196" s="49" t="s">
        <v>244</v>
      </c>
      <c r="J196" s="49" t="s">
        <v>302</v>
      </c>
    </row>
    <row r="197" spans="2:10" ht="18" customHeight="1">
      <c r="B197" s="49" t="s">
        <v>241</v>
      </c>
      <c r="C197" s="49" t="s">
        <v>333</v>
      </c>
      <c r="D197" s="50" t="s">
        <v>243</v>
      </c>
      <c r="E197" s="70">
        <v>2127</v>
      </c>
      <c r="F197" s="70"/>
      <c r="G197" s="70"/>
      <c r="H197" s="70"/>
      <c r="I197" s="49" t="s">
        <v>244</v>
      </c>
      <c r="J197" s="49" t="s">
        <v>302</v>
      </c>
    </row>
    <row r="198" spans="2:10" ht="18" customHeight="1">
      <c r="B198" s="49" t="s">
        <v>241</v>
      </c>
      <c r="C198" s="49" t="s">
        <v>334</v>
      </c>
      <c r="D198" s="50" t="s">
        <v>243</v>
      </c>
      <c r="E198" s="70">
        <v>2742</v>
      </c>
      <c r="F198" s="70"/>
      <c r="G198" s="70"/>
      <c r="H198" s="70"/>
      <c r="I198" s="49" t="s">
        <v>244</v>
      </c>
      <c r="J198" s="49" t="s">
        <v>302</v>
      </c>
    </row>
    <row r="199" spans="2:10" ht="18" customHeight="1">
      <c r="B199" s="49" t="s">
        <v>241</v>
      </c>
      <c r="C199" s="49" t="s">
        <v>335</v>
      </c>
      <c r="D199" s="50" t="s">
        <v>243</v>
      </c>
      <c r="E199" s="70">
        <v>1643</v>
      </c>
      <c r="F199" s="70"/>
      <c r="G199" s="70"/>
      <c r="H199" s="70"/>
      <c r="I199" s="49" t="s">
        <v>244</v>
      </c>
      <c r="J199" s="49" t="s">
        <v>302</v>
      </c>
    </row>
    <row r="200" spans="2:10" ht="18" customHeight="1">
      <c r="B200" s="49" t="s">
        <v>241</v>
      </c>
      <c r="C200" s="49" t="s">
        <v>336</v>
      </c>
      <c r="D200" s="50" t="s">
        <v>243</v>
      </c>
      <c r="E200" s="70">
        <v>3</v>
      </c>
      <c r="F200" s="70"/>
      <c r="G200" s="70"/>
      <c r="H200" s="70"/>
      <c r="I200" s="49" t="s">
        <v>244</v>
      </c>
      <c r="J200" s="49" t="s">
        <v>302</v>
      </c>
    </row>
    <row r="201" spans="2:10" ht="18" customHeight="1">
      <c r="B201" s="49" t="s">
        <v>241</v>
      </c>
      <c r="C201" s="49" t="s">
        <v>337</v>
      </c>
      <c r="D201" s="50" t="s">
        <v>243</v>
      </c>
      <c r="E201" s="70">
        <v>2688</v>
      </c>
      <c r="F201" s="70"/>
      <c r="G201" s="70"/>
      <c r="H201" s="70"/>
      <c r="I201" s="49" t="s">
        <v>244</v>
      </c>
      <c r="J201" s="49" t="s">
        <v>302</v>
      </c>
    </row>
    <row r="202" spans="2:10" ht="18" customHeight="1">
      <c r="B202" s="49" t="s">
        <v>241</v>
      </c>
      <c r="C202" s="49" t="s">
        <v>338</v>
      </c>
      <c r="D202" s="50" t="s">
        <v>243</v>
      </c>
      <c r="E202" s="70">
        <v>2161</v>
      </c>
      <c r="F202" s="70"/>
      <c r="G202" s="70"/>
      <c r="H202" s="70"/>
      <c r="I202" s="49" t="s">
        <v>244</v>
      </c>
      <c r="J202" s="49" t="s">
        <v>302</v>
      </c>
    </row>
    <row r="203" spans="2:10" ht="18" customHeight="1">
      <c r="B203" s="49" t="s">
        <v>241</v>
      </c>
      <c r="C203" s="49" t="s">
        <v>339</v>
      </c>
      <c r="D203" s="50" t="s">
        <v>243</v>
      </c>
      <c r="E203" s="70">
        <v>1144</v>
      </c>
      <c r="F203" s="70"/>
      <c r="G203" s="70"/>
      <c r="H203" s="70"/>
      <c r="I203" s="49" t="s">
        <v>244</v>
      </c>
      <c r="J203" s="49" t="s">
        <v>302</v>
      </c>
    </row>
    <row r="204" spans="2:10" ht="18" customHeight="1">
      <c r="B204" s="49" t="s">
        <v>241</v>
      </c>
      <c r="C204" s="49" t="s">
        <v>340</v>
      </c>
      <c r="D204" s="50" t="s">
        <v>243</v>
      </c>
      <c r="E204" s="70">
        <v>2385</v>
      </c>
      <c r="F204" s="70"/>
      <c r="G204" s="70"/>
      <c r="H204" s="70"/>
      <c r="I204" s="49" t="s">
        <v>244</v>
      </c>
      <c r="J204" s="49" t="s">
        <v>302</v>
      </c>
    </row>
    <row r="205" spans="2:10" ht="18" customHeight="1">
      <c r="B205" s="49" t="s">
        <v>241</v>
      </c>
      <c r="C205" s="49" t="s">
        <v>341</v>
      </c>
      <c r="D205" s="50" t="s">
        <v>243</v>
      </c>
      <c r="E205" s="70">
        <v>2890</v>
      </c>
      <c r="F205" s="70"/>
      <c r="G205" s="70"/>
      <c r="H205" s="70"/>
      <c r="I205" s="49" t="s">
        <v>244</v>
      </c>
      <c r="J205" s="49" t="s">
        <v>302</v>
      </c>
    </row>
    <row r="206" spans="2:10" ht="18" customHeight="1">
      <c r="B206" s="49" t="s">
        <v>241</v>
      </c>
      <c r="C206" s="49" t="s">
        <v>342</v>
      </c>
      <c r="D206" s="50" t="s">
        <v>243</v>
      </c>
      <c r="E206" s="70">
        <v>2847</v>
      </c>
      <c r="F206" s="70"/>
      <c r="G206" s="70"/>
      <c r="H206" s="70"/>
      <c r="I206" s="49" t="s">
        <v>244</v>
      </c>
      <c r="J206" s="49" t="s">
        <v>302</v>
      </c>
    </row>
    <row r="207" spans="2:10" ht="18" customHeight="1">
      <c r="B207" s="49" t="s">
        <v>241</v>
      </c>
      <c r="C207" s="49" t="s">
        <v>343</v>
      </c>
      <c r="D207" s="50" t="s">
        <v>243</v>
      </c>
      <c r="E207" s="70">
        <v>2290</v>
      </c>
      <c r="F207" s="70"/>
      <c r="G207" s="70"/>
      <c r="H207" s="70"/>
      <c r="I207" s="49" t="s">
        <v>244</v>
      </c>
      <c r="J207" s="49" t="s">
        <v>302</v>
      </c>
    </row>
    <row r="208" spans="2:10" ht="18" customHeight="1">
      <c r="B208" s="49" t="s">
        <v>241</v>
      </c>
      <c r="C208" s="49" t="s">
        <v>344</v>
      </c>
      <c r="D208" s="50" t="s">
        <v>243</v>
      </c>
      <c r="E208" s="70">
        <v>2794</v>
      </c>
      <c r="F208" s="70"/>
      <c r="G208" s="70"/>
      <c r="H208" s="70"/>
      <c r="I208" s="49" t="s">
        <v>244</v>
      </c>
      <c r="J208" s="49" t="s">
        <v>302</v>
      </c>
    </row>
    <row r="209" spans="2:10" ht="18" customHeight="1">
      <c r="B209" s="49" t="s">
        <v>241</v>
      </c>
      <c r="C209" s="49" t="s">
        <v>345</v>
      </c>
      <c r="D209" s="50" t="s">
        <v>243</v>
      </c>
      <c r="E209" s="70">
        <v>2473</v>
      </c>
      <c r="F209" s="70"/>
      <c r="G209" s="70"/>
      <c r="H209" s="70"/>
      <c r="I209" s="49" t="s">
        <v>244</v>
      </c>
      <c r="J209" s="49" t="s">
        <v>302</v>
      </c>
    </row>
    <row r="210" spans="2:10" ht="18" customHeight="1">
      <c r="B210" s="49" t="s">
        <v>241</v>
      </c>
      <c r="C210" s="49" t="s">
        <v>346</v>
      </c>
      <c r="D210" s="50" t="s">
        <v>243</v>
      </c>
      <c r="E210" s="70">
        <v>2350</v>
      </c>
      <c r="F210" s="70"/>
      <c r="G210" s="70"/>
      <c r="H210" s="70"/>
      <c r="I210" s="49" t="s">
        <v>244</v>
      </c>
      <c r="J210" s="49" t="s">
        <v>302</v>
      </c>
    </row>
    <row r="211" spans="2:10" ht="18" customHeight="1">
      <c r="B211" s="49" t="s">
        <v>241</v>
      </c>
      <c r="C211" s="49" t="s">
        <v>347</v>
      </c>
      <c r="D211" s="50" t="s">
        <v>243</v>
      </c>
      <c r="E211" s="70">
        <v>2274</v>
      </c>
      <c r="F211" s="70"/>
      <c r="G211" s="70"/>
      <c r="H211" s="70"/>
      <c r="I211" s="49" t="s">
        <v>244</v>
      </c>
      <c r="J211" s="49" t="s">
        <v>302</v>
      </c>
    </row>
    <row r="212" spans="2:10" ht="18" customHeight="1">
      <c r="B212" s="49" t="s">
        <v>241</v>
      </c>
      <c r="C212" s="49" t="s">
        <v>348</v>
      </c>
      <c r="D212" s="50" t="s">
        <v>243</v>
      </c>
      <c r="E212" s="70">
        <v>2212</v>
      </c>
      <c r="F212" s="70"/>
      <c r="G212" s="70"/>
      <c r="H212" s="70"/>
      <c r="I212" s="49" t="s">
        <v>244</v>
      </c>
      <c r="J212" s="49" t="s">
        <v>302</v>
      </c>
    </row>
    <row r="213" spans="2:10" ht="18" customHeight="1">
      <c r="B213" s="49" t="s">
        <v>241</v>
      </c>
      <c r="C213" s="49" t="s">
        <v>349</v>
      </c>
      <c r="D213" s="50" t="s">
        <v>243</v>
      </c>
      <c r="E213" s="70">
        <v>1431</v>
      </c>
      <c r="F213" s="70"/>
      <c r="G213" s="70"/>
      <c r="H213" s="70"/>
      <c r="I213" s="49" t="s">
        <v>244</v>
      </c>
      <c r="J213" s="49" t="s">
        <v>302</v>
      </c>
    </row>
    <row r="214" spans="2:10" ht="18" customHeight="1">
      <c r="B214" s="49" t="s">
        <v>241</v>
      </c>
      <c r="C214" s="49" t="s">
        <v>350</v>
      </c>
      <c r="D214" s="50" t="s">
        <v>243</v>
      </c>
      <c r="E214" s="70">
        <v>1371</v>
      </c>
      <c r="F214" s="70"/>
      <c r="G214" s="70"/>
      <c r="H214" s="70"/>
      <c r="I214" s="49" t="s">
        <v>244</v>
      </c>
      <c r="J214" s="49" t="s">
        <v>302</v>
      </c>
    </row>
    <row r="215" spans="2:10" ht="18" customHeight="1">
      <c r="B215" s="49" t="s">
        <v>241</v>
      </c>
      <c r="C215" s="49" t="s">
        <v>351</v>
      </c>
      <c r="D215" s="50" t="s">
        <v>243</v>
      </c>
      <c r="E215" s="70">
        <v>2024</v>
      </c>
      <c r="F215" s="70"/>
      <c r="G215" s="70"/>
      <c r="H215" s="70"/>
      <c r="I215" s="49" t="s">
        <v>244</v>
      </c>
      <c r="J215" s="49" t="s">
        <v>302</v>
      </c>
    </row>
    <row r="216" spans="2:10" ht="18" customHeight="1">
      <c r="B216" s="49" t="s">
        <v>241</v>
      </c>
      <c r="C216" s="49" t="s">
        <v>352</v>
      </c>
      <c r="D216" s="50" t="s">
        <v>243</v>
      </c>
      <c r="E216" s="70">
        <v>3417</v>
      </c>
      <c r="F216" s="70"/>
      <c r="G216" s="70"/>
      <c r="H216" s="70"/>
      <c r="I216" s="49" t="s">
        <v>244</v>
      </c>
      <c r="J216" s="49" t="s">
        <v>302</v>
      </c>
    </row>
    <row r="217" spans="2:10" ht="18" customHeight="1">
      <c r="B217" s="49" t="s">
        <v>241</v>
      </c>
      <c r="C217" s="49" t="s">
        <v>353</v>
      </c>
      <c r="D217" s="50" t="s">
        <v>243</v>
      </c>
      <c r="E217" s="70">
        <v>13.8</v>
      </c>
      <c r="F217" s="70"/>
      <c r="G217" s="70"/>
      <c r="H217" s="70"/>
      <c r="I217" s="49" t="s">
        <v>244</v>
      </c>
      <c r="J217" s="49" t="s">
        <v>302</v>
      </c>
    </row>
    <row r="218" spans="2:10" ht="18" customHeight="1">
      <c r="B218" s="49" t="s">
        <v>241</v>
      </c>
      <c r="C218" s="49" t="s">
        <v>354</v>
      </c>
      <c r="D218" s="50" t="s">
        <v>243</v>
      </c>
      <c r="E218" s="70">
        <v>105</v>
      </c>
      <c r="F218" s="70"/>
      <c r="G218" s="70"/>
      <c r="H218" s="70"/>
      <c r="I218" s="49" t="s">
        <v>244</v>
      </c>
      <c r="J218" s="49" t="s">
        <v>302</v>
      </c>
    </row>
    <row r="219" spans="2:10" ht="18" customHeight="1">
      <c r="B219" s="49" t="s">
        <v>241</v>
      </c>
      <c r="C219" s="49" t="s">
        <v>355</v>
      </c>
      <c r="D219" s="50" t="s">
        <v>243</v>
      </c>
      <c r="E219" s="70">
        <v>40</v>
      </c>
      <c r="F219" s="70"/>
      <c r="G219" s="70"/>
      <c r="H219" s="70"/>
      <c r="I219" s="49" t="s">
        <v>244</v>
      </c>
      <c r="J219" s="49" t="s">
        <v>302</v>
      </c>
    </row>
    <row r="220" spans="2:10" ht="18" customHeight="1">
      <c r="B220" s="49" t="s">
        <v>241</v>
      </c>
      <c r="C220" s="49" t="s">
        <v>356</v>
      </c>
      <c r="D220" s="50" t="s">
        <v>243</v>
      </c>
      <c r="E220" s="51" t="s">
        <v>312</v>
      </c>
      <c r="F220" s="70"/>
      <c r="G220" s="70"/>
      <c r="H220" s="70"/>
      <c r="I220" s="49" t="s">
        <v>244</v>
      </c>
      <c r="J220" s="49" t="s">
        <v>302</v>
      </c>
    </row>
    <row r="221" spans="2:10" ht="18" customHeight="1">
      <c r="B221" s="49" t="s">
        <v>241</v>
      </c>
      <c r="C221" s="49" t="s">
        <v>357</v>
      </c>
      <c r="D221" s="50" t="s">
        <v>243</v>
      </c>
      <c r="E221" s="51" t="s">
        <v>312</v>
      </c>
      <c r="F221" s="70"/>
      <c r="G221" s="70"/>
      <c r="H221" s="70"/>
      <c r="I221" s="49" t="s">
        <v>244</v>
      </c>
      <c r="J221" s="49" t="s">
        <v>302</v>
      </c>
    </row>
    <row r="222" spans="2:10" ht="18" customHeight="1">
      <c r="B222" s="49" t="s">
        <v>241</v>
      </c>
      <c r="C222" s="49" t="s">
        <v>358</v>
      </c>
      <c r="D222" s="50" t="s">
        <v>243</v>
      </c>
      <c r="E222" s="51" t="s">
        <v>312</v>
      </c>
      <c r="F222" s="70"/>
      <c r="G222" s="70"/>
      <c r="H222" s="70"/>
      <c r="I222" s="49" t="s">
        <v>244</v>
      </c>
      <c r="J222" s="49" t="s">
        <v>302</v>
      </c>
    </row>
    <row r="223" spans="2:10" ht="18" customHeight="1">
      <c r="B223" s="49" t="s">
        <v>241</v>
      </c>
      <c r="C223" s="49" t="s">
        <v>359</v>
      </c>
      <c r="D223" s="50" t="s">
        <v>243</v>
      </c>
      <c r="E223" s="51" t="s">
        <v>312</v>
      </c>
      <c r="F223" s="70"/>
      <c r="G223" s="70"/>
      <c r="H223" s="70"/>
      <c r="I223" s="49" t="s">
        <v>244</v>
      </c>
      <c r="J223" s="49" t="s">
        <v>302</v>
      </c>
    </row>
    <row r="224" spans="2:10" ht="18" customHeight="1">
      <c r="B224" s="49" t="s">
        <v>241</v>
      </c>
      <c r="C224" s="49" t="s">
        <v>360</v>
      </c>
      <c r="D224" s="50" t="s">
        <v>243</v>
      </c>
      <c r="E224" s="70">
        <v>3075</v>
      </c>
      <c r="F224" s="70"/>
      <c r="G224" s="70"/>
      <c r="H224" s="70"/>
      <c r="I224" s="49" t="s">
        <v>244</v>
      </c>
      <c r="J224" s="49" t="s">
        <v>302</v>
      </c>
    </row>
    <row r="225" spans="2:10" ht="18" customHeight="1">
      <c r="B225" s="49" t="s">
        <v>241</v>
      </c>
      <c r="C225" s="49" t="s">
        <v>361</v>
      </c>
      <c r="D225" s="50" t="s">
        <v>243</v>
      </c>
      <c r="E225" s="70">
        <v>27.6</v>
      </c>
      <c r="F225" s="70"/>
      <c r="G225" s="70"/>
      <c r="H225" s="70"/>
      <c r="I225" s="49" t="s">
        <v>244</v>
      </c>
      <c r="J225" s="49" t="s">
        <v>302</v>
      </c>
    </row>
    <row r="226" spans="2:10" ht="18" customHeight="1">
      <c r="B226" s="49" t="s">
        <v>241</v>
      </c>
      <c r="C226" s="49" t="s">
        <v>362</v>
      </c>
      <c r="D226" s="50" t="s">
        <v>243</v>
      </c>
      <c r="E226" s="51" t="s">
        <v>312</v>
      </c>
      <c r="F226" s="70"/>
      <c r="G226" s="70"/>
      <c r="H226" s="70"/>
      <c r="I226" s="49" t="s">
        <v>244</v>
      </c>
      <c r="J226" s="49" t="s">
        <v>302</v>
      </c>
    </row>
    <row r="227" spans="2:10" ht="18" customHeight="1">
      <c r="B227" s="49" t="s">
        <v>241</v>
      </c>
      <c r="C227" s="49" t="s">
        <v>363</v>
      </c>
      <c r="D227" s="50" t="s">
        <v>243</v>
      </c>
      <c r="E227" s="51" t="s">
        <v>312</v>
      </c>
      <c r="F227" s="70"/>
      <c r="G227" s="70"/>
      <c r="H227" s="70"/>
      <c r="I227" s="49" t="s">
        <v>244</v>
      </c>
      <c r="J227" s="49" t="s">
        <v>302</v>
      </c>
    </row>
    <row r="228" spans="2:10" ht="18" customHeight="1">
      <c r="B228" s="49" t="s">
        <v>241</v>
      </c>
      <c r="C228" s="49" t="s">
        <v>364</v>
      </c>
      <c r="D228" s="50" t="s">
        <v>243</v>
      </c>
      <c r="E228" s="70">
        <v>1639</v>
      </c>
      <c r="F228" s="70"/>
      <c r="G228" s="70"/>
      <c r="H228" s="70"/>
      <c r="I228" s="49" t="s">
        <v>244</v>
      </c>
      <c r="J228" s="49" t="s">
        <v>302</v>
      </c>
    </row>
    <row r="229" spans="2:10" ht="18" customHeight="1">
      <c r="B229" s="49" t="s">
        <v>241</v>
      </c>
      <c r="C229" s="49" t="s">
        <v>365</v>
      </c>
      <c r="D229" s="50" t="s">
        <v>243</v>
      </c>
      <c r="E229" s="70">
        <v>2059</v>
      </c>
      <c r="F229" s="70"/>
      <c r="G229" s="70"/>
      <c r="H229" s="70"/>
      <c r="I229" s="49" t="s">
        <v>244</v>
      </c>
      <c r="J229" s="49" t="s">
        <v>302</v>
      </c>
    </row>
    <row r="230" spans="2:10" ht="18" customHeight="1">
      <c r="B230" s="49" t="s">
        <v>241</v>
      </c>
      <c r="C230" s="49" t="s">
        <v>366</v>
      </c>
      <c r="D230" s="50" t="s">
        <v>243</v>
      </c>
      <c r="E230" s="70">
        <v>1828</v>
      </c>
      <c r="F230" s="70"/>
      <c r="G230" s="70"/>
      <c r="H230" s="70"/>
      <c r="I230" s="49" t="s">
        <v>244</v>
      </c>
      <c r="J230" s="49" t="s">
        <v>302</v>
      </c>
    </row>
    <row r="231" spans="2:10" ht="18" customHeight="1">
      <c r="B231" s="49" t="s">
        <v>241</v>
      </c>
      <c r="C231" s="49" t="s">
        <v>367</v>
      </c>
      <c r="D231" s="50" t="s">
        <v>243</v>
      </c>
      <c r="E231" s="70">
        <v>156</v>
      </c>
      <c r="F231" s="70"/>
      <c r="G231" s="70"/>
      <c r="H231" s="70"/>
      <c r="I231" s="49" t="s">
        <v>244</v>
      </c>
      <c r="J231" s="49" t="s">
        <v>302</v>
      </c>
    </row>
    <row r="232" spans="2:10" ht="18" customHeight="1">
      <c r="B232" s="49" t="s">
        <v>241</v>
      </c>
      <c r="C232" s="49" t="s">
        <v>368</v>
      </c>
      <c r="D232" s="50" t="s">
        <v>243</v>
      </c>
      <c r="E232" s="51" t="s">
        <v>312</v>
      </c>
      <c r="F232" s="70"/>
      <c r="G232" s="70"/>
      <c r="H232" s="70"/>
      <c r="I232" s="49" t="s">
        <v>244</v>
      </c>
      <c r="J232" s="49" t="s">
        <v>302</v>
      </c>
    </row>
    <row r="233" spans="2:10" ht="18" customHeight="1">
      <c r="B233" s="49" t="s">
        <v>241</v>
      </c>
      <c r="C233" s="49" t="s">
        <v>369</v>
      </c>
      <c r="D233" s="50" t="s">
        <v>243</v>
      </c>
      <c r="E233" s="70">
        <v>1754</v>
      </c>
      <c r="F233" s="70"/>
      <c r="G233" s="70"/>
      <c r="H233" s="70"/>
      <c r="I233" s="49" t="s">
        <v>244</v>
      </c>
      <c r="J233" s="49" t="s">
        <v>302</v>
      </c>
    </row>
    <row r="234" spans="2:10" ht="18" customHeight="1">
      <c r="B234" s="49" t="s">
        <v>241</v>
      </c>
      <c r="C234" s="49" t="s">
        <v>370</v>
      </c>
      <c r="D234" s="50" t="s">
        <v>243</v>
      </c>
      <c r="E234" s="51" t="s">
        <v>312</v>
      </c>
      <c r="F234" s="70"/>
      <c r="G234" s="70"/>
      <c r="H234" s="70"/>
      <c r="I234" s="49" t="s">
        <v>244</v>
      </c>
      <c r="J234" s="49" t="s">
        <v>302</v>
      </c>
    </row>
    <row r="235" spans="2:10" ht="18" customHeight="1">
      <c r="B235" s="49" t="s">
        <v>241</v>
      </c>
      <c r="C235" s="49" t="s">
        <v>371</v>
      </c>
      <c r="D235" s="50" t="s">
        <v>243</v>
      </c>
      <c r="E235" s="70">
        <v>88</v>
      </c>
      <c r="F235" s="70"/>
      <c r="G235" s="70"/>
      <c r="H235" s="70"/>
      <c r="I235" s="49" t="s">
        <v>244</v>
      </c>
      <c r="J235" s="49" t="s">
        <v>302</v>
      </c>
    </row>
    <row r="236" spans="2:10" ht="18" customHeight="1">
      <c r="B236" s="49" t="s">
        <v>241</v>
      </c>
      <c r="C236" s="49" t="s">
        <v>372</v>
      </c>
      <c r="D236" s="50" t="s">
        <v>243</v>
      </c>
      <c r="E236" s="70">
        <v>117</v>
      </c>
      <c r="F236" s="70"/>
      <c r="G236" s="70"/>
      <c r="H236" s="70"/>
      <c r="I236" s="49" t="s">
        <v>244</v>
      </c>
      <c r="J236" s="49" t="s">
        <v>302</v>
      </c>
    </row>
    <row r="237" spans="2:10" ht="18" customHeight="1">
      <c r="B237" s="49" t="s">
        <v>241</v>
      </c>
      <c r="C237" s="49" t="s">
        <v>373</v>
      </c>
      <c r="D237" s="50" t="s">
        <v>243</v>
      </c>
      <c r="E237" s="70">
        <v>36</v>
      </c>
      <c r="F237" s="70"/>
      <c r="G237" s="70"/>
      <c r="H237" s="70"/>
      <c r="I237" s="49" t="s">
        <v>244</v>
      </c>
      <c r="J237" s="49" t="s">
        <v>302</v>
      </c>
    </row>
    <row r="238" spans="2:10" ht="18" customHeight="1">
      <c r="B238" s="49" t="s">
        <v>241</v>
      </c>
      <c r="C238" s="49" t="s">
        <v>374</v>
      </c>
      <c r="D238" s="50" t="s">
        <v>243</v>
      </c>
      <c r="E238" s="51" t="s">
        <v>312</v>
      </c>
      <c r="F238" s="70"/>
      <c r="G238" s="70"/>
      <c r="H238" s="70"/>
      <c r="I238" s="49" t="s">
        <v>244</v>
      </c>
      <c r="J238" s="49" t="s">
        <v>302</v>
      </c>
    </row>
    <row r="239" spans="2:10" ht="18" customHeight="1">
      <c r="B239" s="49" t="s">
        <v>241</v>
      </c>
      <c r="C239" s="49" t="s">
        <v>375</v>
      </c>
      <c r="D239" s="50" t="s">
        <v>243</v>
      </c>
      <c r="E239" s="51" t="s">
        <v>312</v>
      </c>
      <c r="F239" s="70"/>
      <c r="G239" s="70"/>
      <c r="H239" s="70"/>
      <c r="I239" s="49" t="s">
        <v>244</v>
      </c>
      <c r="J239" s="49" t="s">
        <v>302</v>
      </c>
    </row>
    <row r="240" spans="2:10" ht="18" customHeight="1">
      <c r="B240" s="49" t="s">
        <v>241</v>
      </c>
      <c r="C240" s="49" t="s">
        <v>376</v>
      </c>
      <c r="D240" s="50" t="s">
        <v>243</v>
      </c>
      <c r="E240" s="70">
        <v>4972</v>
      </c>
      <c r="F240" s="70"/>
      <c r="G240" s="70"/>
      <c r="H240" s="70"/>
      <c r="I240" s="49" t="s">
        <v>244</v>
      </c>
      <c r="J240" s="49" t="s">
        <v>302</v>
      </c>
    </row>
    <row r="241" spans="2:10" ht="18" customHeight="1">
      <c r="B241" s="49" t="s">
        <v>241</v>
      </c>
      <c r="C241" s="49" t="s">
        <v>377</v>
      </c>
      <c r="D241" s="50" t="s">
        <v>243</v>
      </c>
      <c r="E241" s="70">
        <v>326</v>
      </c>
      <c r="F241" s="70"/>
      <c r="G241" s="70"/>
      <c r="H241" s="70"/>
      <c r="I241" s="49" t="s">
        <v>244</v>
      </c>
      <c r="J241" s="49" t="s">
        <v>302</v>
      </c>
    </row>
    <row r="242" spans="2:10" ht="18" customHeight="1">
      <c r="B242" s="49" t="s">
        <v>241</v>
      </c>
      <c r="C242" s="49" t="s">
        <v>378</v>
      </c>
      <c r="D242" s="50" t="s">
        <v>243</v>
      </c>
      <c r="E242" s="51" t="s">
        <v>312</v>
      </c>
      <c r="F242" s="70"/>
      <c r="G242" s="70"/>
      <c r="H242" s="70"/>
      <c r="I242" s="49" t="s">
        <v>244</v>
      </c>
      <c r="J242" s="49" t="s">
        <v>302</v>
      </c>
    </row>
    <row r="243" spans="2:10" ht="18" customHeight="1">
      <c r="B243" s="49" t="s">
        <v>241</v>
      </c>
      <c r="C243" s="49" t="s">
        <v>379</v>
      </c>
      <c r="D243" s="50" t="s">
        <v>243</v>
      </c>
      <c r="E243" s="51" t="s">
        <v>312</v>
      </c>
      <c r="F243" s="70"/>
      <c r="G243" s="70"/>
      <c r="H243" s="70"/>
      <c r="I243" s="49" t="s">
        <v>244</v>
      </c>
      <c r="J243" s="49" t="s">
        <v>302</v>
      </c>
    </row>
    <row r="244" spans="2:10" ht="18" customHeight="1">
      <c r="B244" s="49" t="s">
        <v>241</v>
      </c>
      <c r="C244" s="49" t="s">
        <v>380</v>
      </c>
      <c r="D244" s="50" t="s">
        <v>243</v>
      </c>
      <c r="E244" s="70">
        <v>3985</v>
      </c>
      <c r="F244" s="70"/>
      <c r="G244" s="70"/>
      <c r="H244" s="70"/>
      <c r="I244" s="49" t="s">
        <v>244</v>
      </c>
      <c r="J244" s="49" t="s">
        <v>302</v>
      </c>
    </row>
    <row r="245" spans="2:10" ht="18" customHeight="1">
      <c r="B245" s="49" t="s">
        <v>241</v>
      </c>
      <c r="C245" s="49" t="s">
        <v>381</v>
      </c>
      <c r="D245" s="50" t="s">
        <v>243</v>
      </c>
      <c r="E245" s="70">
        <v>11607</v>
      </c>
      <c r="F245" s="70"/>
      <c r="G245" s="70"/>
      <c r="H245" s="70"/>
      <c r="I245" s="49" t="s">
        <v>244</v>
      </c>
      <c r="J245" s="49" t="s">
        <v>302</v>
      </c>
    </row>
    <row r="246" spans="2:10" ht="18" customHeight="1">
      <c r="B246" s="49" t="s">
        <v>241</v>
      </c>
      <c r="C246" s="49" t="s">
        <v>382</v>
      </c>
      <c r="D246" s="50" t="s">
        <v>243</v>
      </c>
      <c r="E246" s="70">
        <v>11698</v>
      </c>
      <c r="F246" s="70"/>
      <c r="G246" s="70"/>
      <c r="H246" s="70"/>
      <c r="I246" s="49" t="s">
        <v>244</v>
      </c>
      <c r="J246" s="49" t="s">
        <v>302</v>
      </c>
    </row>
    <row r="247" spans="2:10" ht="18" customHeight="1">
      <c r="B247" s="49" t="s">
        <v>241</v>
      </c>
      <c r="C247" s="49" t="s">
        <v>383</v>
      </c>
      <c r="D247" s="50" t="s">
        <v>243</v>
      </c>
      <c r="E247" s="70">
        <v>4984</v>
      </c>
      <c r="F247" s="70"/>
      <c r="G247" s="70"/>
      <c r="H247" s="70"/>
      <c r="I247" s="49" t="s">
        <v>244</v>
      </c>
      <c r="J247" s="49" t="s">
        <v>302</v>
      </c>
    </row>
    <row r="248" spans="2:10" ht="18" customHeight="1">
      <c r="B248" s="72" t="s">
        <v>241</v>
      </c>
      <c r="C248" s="72" t="s">
        <v>384</v>
      </c>
      <c r="D248" s="73" t="s">
        <v>243</v>
      </c>
      <c r="E248" s="74" t="s">
        <v>312</v>
      </c>
      <c r="F248" s="75"/>
      <c r="G248" s="75"/>
      <c r="H248" s="75"/>
      <c r="I248" s="49" t="s">
        <v>244</v>
      </c>
      <c r="J248" s="49" t="s">
        <v>302</v>
      </c>
    </row>
    <row r="249" spans="2:10" s="68" customFormat="1" ht="18" customHeight="1">
      <c r="B249" s="49" t="s">
        <v>241</v>
      </c>
      <c r="C249" s="49" t="s">
        <v>385</v>
      </c>
      <c r="D249" s="50" t="s">
        <v>243</v>
      </c>
      <c r="E249" s="51">
        <v>0</v>
      </c>
      <c r="F249" s="70"/>
      <c r="G249" s="70"/>
      <c r="H249" s="70"/>
      <c r="I249" s="49" t="s">
        <v>244</v>
      </c>
      <c r="J249" s="49" t="s">
        <v>302</v>
      </c>
    </row>
    <row r="250" spans="2:10" ht="18" customHeight="1">
      <c r="B250" s="54" t="s">
        <v>241</v>
      </c>
      <c r="C250" s="54" t="s">
        <v>386</v>
      </c>
      <c r="D250" s="55" t="s">
        <v>243</v>
      </c>
      <c r="E250" s="76">
        <v>196</v>
      </c>
      <c r="F250" s="76"/>
      <c r="G250" s="76"/>
      <c r="H250" s="76"/>
      <c r="I250" s="54" t="s">
        <v>244</v>
      </c>
      <c r="J250" s="54" t="s">
        <v>302</v>
      </c>
    </row>
  </sheetData>
  <autoFilter ref="A11:XFC250" xr:uid="{00000000-0009-0000-0000-000002000000}"/>
  <mergeCells count="10">
    <mergeCell ref="B9:E9"/>
    <mergeCell ref="F9:H9"/>
    <mergeCell ref="I9:J9"/>
    <mergeCell ref="B2:E2"/>
    <mergeCell ref="F2:H2"/>
    <mergeCell ref="I2:J2"/>
    <mergeCell ref="B3:E3"/>
    <mergeCell ref="B4:E4"/>
    <mergeCell ref="F4:H4"/>
    <mergeCell ref="I4:J4"/>
  </mergeCells>
  <phoneticPr fontId="40" type="noConversion"/>
  <pageMargins left="0.75" right="0.75" top="1" bottom="1" header="0.5" footer="0.5"/>
  <headerFooter>
    <oddFooter>&amp;L_x000D_&amp;1#&amp;"Aptos"&amp;10&amp;K000000 NSF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XEY90"/>
  <sheetViews>
    <sheetView zoomScale="80" zoomScaleNormal="80" workbookViewId="0"/>
  </sheetViews>
  <sheetFormatPr defaultColWidth="9" defaultRowHeight="18" customHeight="1"/>
  <cols>
    <col min="1" max="1" width="3.61328125" style="22" customWidth="1"/>
    <col min="2" max="2" width="18" style="22" customWidth="1"/>
    <col min="3" max="3" width="38" style="22" customWidth="1"/>
    <col min="4" max="4" width="29.15234375" style="22" customWidth="1"/>
    <col min="5" max="5" width="42" style="24" customWidth="1"/>
    <col min="6" max="6" width="13.84375" style="25" customWidth="1"/>
    <col min="7" max="7" width="19.3828125" style="22" customWidth="1"/>
    <col min="8" max="10" width="25.15234375" style="22" customWidth="1"/>
    <col min="11" max="16377" width="9" style="22"/>
    <col min="16380" max="16384" width="9" style="22"/>
  </cols>
  <sheetData>
    <row r="1" spans="2:7 16378:16379" ht="18" customHeight="1">
      <c r="E1" s="26"/>
      <c r="F1" s="22"/>
      <c r="G1" s="27"/>
      <c r="XEX1" s="22"/>
      <c r="XEY1" s="22"/>
    </row>
    <row r="2" spans="2:7 16378:16379" ht="36" customHeight="1">
      <c r="B2" s="111" t="s">
        <v>387</v>
      </c>
      <c r="C2" s="111"/>
      <c r="D2" s="111"/>
      <c r="E2" s="112"/>
      <c r="F2" s="28"/>
      <c r="G2" s="28"/>
      <c r="XEX2" s="22"/>
      <c r="XEY2" s="22"/>
    </row>
    <row r="3" spans="2:7 16378:16379" ht="18" customHeight="1">
      <c r="B3" s="113"/>
      <c r="C3" s="113"/>
      <c r="D3" s="113"/>
      <c r="E3" s="114"/>
      <c r="F3" s="22"/>
      <c r="XEX3" s="22"/>
      <c r="XEY3" s="22"/>
    </row>
    <row r="4" spans="2:7 16378:16379" ht="18" customHeight="1">
      <c r="B4" s="115" t="s">
        <v>68</v>
      </c>
      <c r="C4" s="115"/>
      <c r="D4" s="115"/>
      <c r="E4" s="116"/>
      <c r="F4" s="29"/>
      <c r="G4" s="29"/>
      <c r="XEX4" s="22"/>
      <c r="XEY4" s="22"/>
    </row>
    <row r="5" spans="2:7 16378:16379" ht="18" customHeight="1">
      <c r="E5" s="26"/>
      <c r="F5" s="22"/>
      <c r="XEX5" s="22"/>
      <c r="XEY5" s="22"/>
    </row>
    <row r="6" spans="2:7 16378:16379" ht="36" customHeight="1">
      <c r="B6" s="30" t="s">
        <v>2</v>
      </c>
      <c r="C6" s="31" t="s">
        <v>3</v>
      </c>
      <c r="D6" s="30" t="s">
        <v>138</v>
      </c>
      <c r="E6" s="31" t="s">
        <v>139</v>
      </c>
      <c r="F6" s="22"/>
      <c r="XEX6" s="22"/>
      <c r="XEY6" s="22"/>
    </row>
    <row r="7" spans="2:7 16378:16379" ht="50.05" customHeight="1">
      <c r="B7" s="30" t="s">
        <v>140</v>
      </c>
      <c r="C7" s="31" t="s">
        <v>388</v>
      </c>
      <c r="D7" s="30" t="s">
        <v>142</v>
      </c>
      <c r="E7" s="31" t="s">
        <v>107</v>
      </c>
      <c r="F7" s="22"/>
      <c r="XEX7" s="22"/>
      <c r="XEY7" s="22"/>
    </row>
    <row r="8" spans="2:7 16378:16379" ht="18" customHeight="1">
      <c r="E8" s="26"/>
      <c r="F8" s="22"/>
      <c r="XEX8" s="22"/>
      <c r="XEY8" s="22"/>
    </row>
    <row r="9" spans="2:7 16378:16379" ht="18" customHeight="1">
      <c r="B9" s="115" t="s">
        <v>144</v>
      </c>
      <c r="C9" s="115" t="s">
        <v>7</v>
      </c>
      <c r="D9" s="115" t="s">
        <v>7</v>
      </c>
      <c r="E9" s="116" t="s">
        <v>7</v>
      </c>
      <c r="F9" s="29"/>
      <c r="G9" s="29"/>
      <c r="XEX9" s="22"/>
      <c r="XEY9" s="22"/>
    </row>
    <row r="10" spans="2:7 16378:16379" ht="18" customHeight="1">
      <c r="E10" s="26"/>
      <c r="F10" s="22"/>
      <c r="XEX10" s="22"/>
      <c r="XEY10" s="22"/>
    </row>
    <row r="11" spans="2:7 16378:16379" s="23" customFormat="1" ht="18" customHeight="1">
      <c r="B11" s="32" t="s">
        <v>389</v>
      </c>
      <c r="C11" s="33" t="s">
        <v>390</v>
      </c>
      <c r="D11" s="34" t="s">
        <v>391</v>
      </c>
      <c r="E11" s="34" t="s">
        <v>147</v>
      </c>
      <c r="F11" s="58" t="s">
        <v>149</v>
      </c>
      <c r="G11" s="32" t="s">
        <v>153</v>
      </c>
      <c r="XEX11" s="35"/>
      <c r="XEY11" s="35"/>
    </row>
    <row r="12" spans="2:7 16378:16379" ht="18" customHeight="1">
      <c r="B12" s="36" t="s">
        <v>83</v>
      </c>
      <c r="C12" s="36" t="s">
        <v>392</v>
      </c>
      <c r="D12" s="37" t="s">
        <v>393</v>
      </c>
      <c r="E12" s="38" t="s">
        <v>394</v>
      </c>
      <c r="F12" s="59">
        <v>0.53059999999999996</v>
      </c>
      <c r="G12" s="36" t="s">
        <v>395</v>
      </c>
      <c r="XEX12" s="22"/>
      <c r="XEY12" s="22"/>
    </row>
    <row r="13" spans="2:7 16378:16379" ht="18" customHeight="1">
      <c r="B13" s="49" t="s">
        <v>83</v>
      </c>
      <c r="C13" s="49" t="s">
        <v>392</v>
      </c>
      <c r="D13" s="50" t="s">
        <v>396</v>
      </c>
      <c r="E13" s="51" t="s">
        <v>394</v>
      </c>
      <c r="F13" s="52">
        <v>0.6361</v>
      </c>
      <c r="G13" s="49" t="s">
        <v>397</v>
      </c>
      <c r="XEX13" s="22"/>
      <c r="XEY13" s="22"/>
    </row>
    <row r="14" spans="2:7 16378:16379" ht="18" customHeight="1">
      <c r="B14" s="49" t="s">
        <v>83</v>
      </c>
      <c r="C14" s="49" t="s">
        <v>392</v>
      </c>
      <c r="D14" s="50" t="s">
        <v>398</v>
      </c>
      <c r="E14" s="51" t="s">
        <v>394</v>
      </c>
      <c r="F14" s="52">
        <v>0.51219999999999999</v>
      </c>
      <c r="G14" s="49" t="s">
        <v>399</v>
      </c>
      <c r="XEX14" s="22"/>
      <c r="XEY14" s="22"/>
    </row>
    <row r="15" spans="2:7 16378:16379" ht="18" customHeight="1">
      <c r="B15" s="49" t="s">
        <v>83</v>
      </c>
      <c r="C15" s="49" t="s">
        <v>392</v>
      </c>
      <c r="D15" s="50" t="s">
        <v>400</v>
      </c>
      <c r="E15" s="51" t="s">
        <v>394</v>
      </c>
      <c r="F15" s="52">
        <v>0.55000000000000004</v>
      </c>
      <c r="G15" s="49" t="s">
        <v>401</v>
      </c>
      <c r="XEX15" s="22"/>
      <c r="XEY15" s="22"/>
    </row>
    <row r="16" spans="2:7 16378:16379" ht="18" customHeight="1">
      <c r="B16" s="49" t="s">
        <v>83</v>
      </c>
      <c r="C16" s="49" t="s">
        <v>392</v>
      </c>
      <c r="D16" s="50" t="s">
        <v>402</v>
      </c>
      <c r="E16" s="51" t="s">
        <v>394</v>
      </c>
      <c r="F16" s="52">
        <v>0.52710000000000001</v>
      </c>
      <c r="G16" s="49" t="s">
        <v>403</v>
      </c>
      <c r="XEX16" s="22"/>
      <c r="XEY16" s="22"/>
    </row>
    <row r="17" spans="2:7" s="22" customFormat="1" ht="18" customHeight="1">
      <c r="B17" s="49" t="s">
        <v>83</v>
      </c>
      <c r="C17" s="49" t="s">
        <v>392</v>
      </c>
      <c r="D17" s="50" t="s">
        <v>404</v>
      </c>
      <c r="E17" s="51" t="s">
        <v>394</v>
      </c>
      <c r="F17" s="52">
        <v>0.55430000000000001</v>
      </c>
      <c r="G17" s="49" t="s">
        <v>405</v>
      </c>
    </row>
    <row r="18" spans="2:7" s="22" customFormat="1" ht="18" customHeight="1">
      <c r="B18" s="49" t="s">
        <v>83</v>
      </c>
      <c r="C18" s="49" t="s">
        <v>392</v>
      </c>
      <c r="D18" s="50" t="s">
        <v>406</v>
      </c>
      <c r="E18" s="51" t="s">
        <v>394</v>
      </c>
      <c r="F18" s="52">
        <v>0.4042</v>
      </c>
      <c r="G18" s="49" t="s">
        <v>407</v>
      </c>
    </row>
    <row r="19" spans="2:7" s="22" customFormat="1" ht="18" customHeight="1">
      <c r="B19" s="49" t="s">
        <v>83</v>
      </c>
      <c r="C19" s="49" t="s">
        <v>392</v>
      </c>
      <c r="D19" s="50" t="s">
        <v>408</v>
      </c>
      <c r="E19" s="51" t="s">
        <v>394</v>
      </c>
      <c r="F19" s="52">
        <v>0.2472</v>
      </c>
      <c r="G19" s="49" t="s">
        <v>409</v>
      </c>
    </row>
    <row r="20" spans="2:7" s="22" customFormat="1" ht="18" customHeight="1">
      <c r="B20" s="49" t="s">
        <v>83</v>
      </c>
      <c r="C20" s="49" t="s">
        <v>392</v>
      </c>
      <c r="D20" s="50" t="s">
        <v>410</v>
      </c>
      <c r="E20" s="51" t="s">
        <v>394</v>
      </c>
      <c r="F20" s="52">
        <v>0.5554</v>
      </c>
      <c r="G20" s="49"/>
    </row>
    <row r="21" spans="2:7" s="22" customFormat="1" ht="18" customHeight="1">
      <c r="B21" s="49" t="s">
        <v>83</v>
      </c>
      <c r="C21" s="49" t="s">
        <v>392</v>
      </c>
      <c r="D21" s="50" t="s">
        <v>411</v>
      </c>
      <c r="E21" s="51" t="s">
        <v>394</v>
      </c>
      <c r="F21" s="52">
        <v>0.67959999999999998</v>
      </c>
      <c r="G21" s="49"/>
    </row>
    <row r="22" spans="2:7" ht="18" customHeight="1">
      <c r="B22" s="49" t="s">
        <v>83</v>
      </c>
      <c r="C22" s="49" t="s">
        <v>392</v>
      </c>
      <c r="D22" s="50" t="s">
        <v>412</v>
      </c>
      <c r="E22" s="51" t="s">
        <v>394</v>
      </c>
      <c r="F22" s="52">
        <v>0.65159999999999996</v>
      </c>
      <c r="G22" s="49"/>
    </row>
    <row r="23" spans="2:7" ht="18" customHeight="1">
      <c r="B23" s="49" t="s">
        <v>83</v>
      </c>
      <c r="C23" s="49" t="s">
        <v>392</v>
      </c>
      <c r="D23" s="50" t="s">
        <v>413</v>
      </c>
      <c r="E23" s="51" t="s">
        <v>394</v>
      </c>
      <c r="F23" s="52">
        <v>0.66339999999999999</v>
      </c>
      <c r="G23" s="49"/>
    </row>
    <row r="24" spans="2:7" ht="18" customHeight="1">
      <c r="B24" s="49" t="s">
        <v>83</v>
      </c>
      <c r="C24" s="49" t="s">
        <v>392</v>
      </c>
      <c r="D24" s="50" t="s">
        <v>414</v>
      </c>
      <c r="E24" s="51" t="s">
        <v>394</v>
      </c>
      <c r="F24" s="52">
        <v>0.64790000000000003</v>
      </c>
      <c r="G24" s="49"/>
    </row>
    <row r="25" spans="2:7" ht="18" customHeight="1">
      <c r="B25" s="49" t="s">
        <v>83</v>
      </c>
      <c r="C25" s="49" t="s">
        <v>392</v>
      </c>
      <c r="D25" s="50" t="s">
        <v>415</v>
      </c>
      <c r="E25" s="51" t="s">
        <v>394</v>
      </c>
      <c r="F25" s="52">
        <v>0.48780000000000001</v>
      </c>
      <c r="G25" s="49"/>
    </row>
    <row r="26" spans="2:7" ht="18" customHeight="1">
      <c r="B26" s="49" t="s">
        <v>83</v>
      </c>
      <c r="C26" s="49" t="s">
        <v>392</v>
      </c>
      <c r="D26" s="50" t="s">
        <v>416</v>
      </c>
      <c r="E26" s="51" t="s">
        <v>394</v>
      </c>
      <c r="F26" s="52">
        <v>0.46710000000000002</v>
      </c>
      <c r="G26" s="49"/>
    </row>
    <row r="27" spans="2:7" ht="18" customHeight="1">
      <c r="B27" s="49" t="s">
        <v>83</v>
      </c>
      <c r="C27" s="49" t="s">
        <v>392</v>
      </c>
      <c r="D27" s="50" t="s">
        <v>417</v>
      </c>
      <c r="E27" s="51" t="s">
        <v>394</v>
      </c>
      <c r="F27" s="52">
        <v>0.52290000000000003</v>
      </c>
      <c r="G27" s="49"/>
    </row>
    <row r="28" spans="2:7" ht="18" customHeight="1">
      <c r="B28" s="49" t="s">
        <v>83</v>
      </c>
      <c r="C28" s="49" t="s">
        <v>392</v>
      </c>
      <c r="D28" s="50" t="s">
        <v>418</v>
      </c>
      <c r="E28" s="51" t="s">
        <v>394</v>
      </c>
      <c r="F28" s="52">
        <v>0.57369999999999999</v>
      </c>
      <c r="G28" s="49"/>
    </row>
    <row r="29" spans="2:7" ht="18" customHeight="1">
      <c r="B29" s="49" t="s">
        <v>83</v>
      </c>
      <c r="C29" s="49" t="s">
        <v>392</v>
      </c>
      <c r="D29" s="50" t="s">
        <v>419</v>
      </c>
      <c r="E29" s="51" t="s">
        <v>394</v>
      </c>
      <c r="F29" s="52">
        <v>0.5827</v>
      </c>
      <c r="G29" s="49"/>
    </row>
    <row r="30" spans="2:7" ht="18" customHeight="1">
      <c r="B30" s="49" t="s">
        <v>83</v>
      </c>
      <c r="C30" s="49" t="s">
        <v>392</v>
      </c>
      <c r="D30" s="50" t="s">
        <v>420</v>
      </c>
      <c r="E30" s="51" t="s">
        <v>394</v>
      </c>
      <c r="F30" s="52">
        <v>0.49740000000000001</v>
      </c>
      <c r="G30" s="49"/>
    </row>
    <row r="31" spans="2:7" ht="18" customHeight="1">
      <c r="B31" s="49" t="s">
        <v>83</v>
      </c>
      <c r="C31" s="49" t="s">
        <v>392</v>
      </c>
      <c r="D31" s="50" t="s">
        <v>421</v>
      </c>
      <c r="E31" s="51" t="s">
        <v>394</v>
      </c>
      <c r="F31" s="52">
        <v>0.65529999999999999</v>
      </c>
      <c r="G31" s="49"/>
    </row>
    <row r="32" spans="2:7" ht="18" customHeight="1">
      <c r="B32" s="49" t="s">
        <v>83</v>
      </c>
      <c r="C32" s="49" t="s">
        <v>392</v>
      </c>
      <c r="D32" s="50" t="s">
        <v>422</v>
      </c>
      <c r="E32" s="51" t="s">
        <v>394</v>
      </c>
      <c r="F32" s="52">
        <v>0.42109999999999997</v>
      </c>
      <c r="G32" s="49"/>
    </row>
    <row r="33" spans="2:7" ht="18" customHeight="1">
      <c r="B33" s="49" t="s">
        <v>83</v>
      </c>
      <c r="C33" s="49" t="s">
        <v>392</v>
      </c>
      <c r="D33" s="50" t="s">
        <v>423</v>
      </c>
      <c r="E33" s="51" t="s">
        <v>394</v>
      </c>
      <c r="F33" s="52">
        <v>0.58360000000000001</v>
      </c>
      <c r="G33" s="49"/>
    </row>
    <row r="34" spans="2:7" ht="18" customHeight="1">
      <c r="B34" s="49" t="s">
        <v>83</v>
      </c>
      <c r="C34" s="49" t="s">
        <v>392</v>
      </c>
      <c r="D34" s="50" t="s">
        <v>424</v>
      </c>
      <c r="E34" s="51" t="s">
        <v>394</v>
      </c>
      <c r="F34" s="52">
        <v>0.61909999999999998</v>
      </c>
      <c r="G34" s="49"/>
    </row>
    <row r="35" spans="2:7" ht="18" customHeight="1">
      <c r="B35" s="49" t="s">
        <v>83</v>
      </c>
      <c r="C35" s="49" t="s">
        <v>392</v>
      </c>
      <c r="D35" s="50" t="s">
        <v>425</v>
      </c>
      <c r="E35" s="51" t="s">
        <v>394</v>
      </c>
      <c r="F35" s="52">
        <v>0.5897</v>
      </c>
      <c r="G35" s="49"/>
    </row>
    <row r="36" spans="2:7" ht="18" customHeight="1">
      <c r="B36" s="49" t="s">
        <v>83</v>
      </c>
      <c r="C36" s="49" t="s">
        <v>392</v>
      </c>
      <c r="D36" s="50" t="s">
        <v>426</v>
      </c>
      <c r="E36" s="51" t="s">
        <v>394</v>
      </c>
      <c r="F36" s="52">
        <v>0.40439999999999998</v>
      </c>
      <c r="G36" s="49"/>
    </row>
    <row r="37" spans="2:7" ht="18" customHeight="1">
      <c r="B37" s="49" t="s">
        <v>83</v>
      </c>
      <c r="C37" s="49" t="s">
        <v>392</v>
      </c>
      <c r="D37" s="50" t="s">
        <v>427</v>
      </c>
      <c r="E37" s="51" t="s">
        <v>394</v>
      </c>
      <c r="F37" s="52">
        <v>0.49759999999999999</v>
      </c>
      <c r="G37" s="49"/>
    </row>
    <row r="38" spans="2:7" ht="18" customHeight="1">
      <c r="B38" s="49" t="s">
        <v>83</v>
      </c>
      <c r="C38" s="49" t="s">
        <v>392</v>
      </c>
      <c r="D38" s="50" t="s">
        <v>428</v>
      </c>
      <c r="E38" s="51" t="s">
        <v>394</v>
      </c>
      <c r="F38" s="52">
        <v>0.44190000000000002</v>
      </c>
      <c r="G38" s="49"/>
    </row>
    <row r="39" spans="2:7" ht="18" customHeight="1">
      <c r="B39" s="49" t="s">
        <v>83</v>
      </c>
      <c r="C39" s="49" t="s">
        <v>392</v>
      </c>
      <c r="D39" s="50" t="s">
        <v>429</v>
      </c>
      <c r="E39" s="51" t="s">
        <v>394</v>
      </c>
      <c r="F39" s="52">
        <v>0.4476</v>
      </c>
      <c r="G39" s="49"/>
    </row>
    <row r="40" spans="2:7" ht="18" customHeight="1">
      <c r="B40" s="49" t="s">
        <v>83</v>
      </c>
      <c r="C40" s="49" t="s">
        <v>392</v>
      </c>
      <c r="D40" s="50" t="s">
        <v>430</v>
      </c>
      <c r="E40" s="51" t="s">
        <v>394</v>
      </c>
      <c r="F40" s="52">
        <v>0.36480000000000001</v>
      </c>
      <c r="G40" s="49"/>
    </row>
    <row r="41" spans="2:7" ht="18" customHeight="1">
      <c r="B41" s="49" t="s">
        <v>83</v>
      </c>
      <c r="C41" s="49" t="s">
        <v>392</v>
      </c>
      <c r="D41" s="50" t="s">
        <v>431</v>
      </c>
      <c r="E41" s="51" t="s">
        <v>394</v>
      </c>
      <c r="F41" s="52">
        <v>0.55810000000000004</v>
      </c>
      <c r="G41" s="49"/>
    </row>
    <row r="42" spans="2:7" ht="18" customHeight="1">
      <c r="B42" s="49" t="s">
        <v>83</v>
      </c>
      <c r="C42" s="49" t="s">
        <v>392</v>
      </c>
      <c r="D42" s="50" t="s">
        <v>432</v>
      </c>
      <c r="E42" s="51" t="s">
        <v>394</v>
      </c>
      <c r="F42" s="52">
        <v>0.15640000000000001</v>
      </c>
      <c r="G42" s="49"/>
    </row>
    <row r="43" spans="2:7" ht="18" customHeight="1">
      <c r="B43" s="49" t="s">
        <v>83</v>
      </c>
      <c r="C43" s="49" t="s">
        <v>392</v>
      </c>
      <c r="D43" s="50" t="s">
        <v>433</v>
      </c>
      <c r="E43" s="51" t="s">
        <v>394</v>
      </c>
      <c r="F43" s="52">
        <v>0.56830000000000003</v>
      </c>
      <c r="G43" s="49"/>
    </row>
    <row r="44" spans="2:7" ht="18" customHeight="1">
      <c r="B44" s="49" t="s">
        <v>83</v>
      </c>
      <c r="C44" s="49" t="s">
        <v>392</v>
      </c>
      <c r="D44" s="50" t="s">
        <v>434</v>
      </c>
      <c r="E44" s="51" t="s">
        <v>394</v>
      </c>
      <c r="F44" s="52">
        <v>0.1333</v>
      </c>
      <c r="G44" s="49"/>
    </row>
    <row r="45" spans="2:7" ht="18" customHeight="1">
      <c r="B45" s="49" t="s">
        <v>83</v>
      </c>
      <c r="C45" s="49" t="s">
        <v>392</v>
      </c>
      <c r="D45" s="50" t="s">
        <v>435</v>
      </c>
      <c r="E45" s="51" t="s">
        <v>394</v>
      </c>
      <c r="F45" s="52">
        <v>0.63349999999999995</v>
      </c>
      <c r="G45" s="49"/>
    </row>
    <row r="46" spans="2:7" ht="18" customHeight="1">
      <c r="B46" s="49" t="s">
        <v>83</v>
      </c>
      <c r="C46" s="49" t="s">
        <v>392</v>
      </c>
      <c r="D46" s="50" t="s">
        <v>436</v>
      </c>
      <c r="E46" s="51" t="s">
        <v>394</v>
      </c>
      <c r="F46" s="52">
        <v>0.4471</v>
      </c>
      <c r="G46" s="49"/>
    </row>
    <row r="47" spans="2:7" ht="18" customHeight="1">
      <c r="B47" s="49" t="s">
        <v>83</v>
      </c>
      <c r="C47" s="49" t="s">
        <v>392</v>
      </c>
      <c r="D47" s="50" t="s">
        <v>437</v>
      </c>
      <c r="E47" s="51" t="s">
        <v>394</v>
      </c>
      <c r="F47" s="52">
        <v>0.17960000000000001</v>
      </c>
      <c r="G47" s="49"/>
    </row>
    <row r="48" spans="2:7" ht="18" customHeight="1">
      <c r="B48" s="49" t="s">
        <v>83</v>
      </c>
      <c r="C48" s="49" t="s">
        <v>392</v>
      </c>
      <c r="D48" s="50" t="s">
        <v>438</v>
      </c>
      <c r="E48" s="51" t="s">
        <v>394</v>
      </c>
      <c r="F48" s="52">
        <v>0.61870000000000003</v>
      </c>
      <c r="G48" s="49"/>
    </row>
    <row r="49" spans="2:7" ht="18" customHeight="1">
      <c r="B49" s="49" t="s">
        <v>83</v>
      </c>
      <c r="C49" s="49" t="s">
        <v>392</v>
      </c>
      <c r="D49" s="50" t="s">
        <v>439</v>
      </c>
      <c r="E49" s="51" t="s">
        <v>394</v>
      </c>
      <c r="F49" s="52">
        <v>0.60209999999999997</v>
      </c>
      <c r="G49" s="49"/>
    </row>
    <row r="50" spans="2:7" ht="18" customHeight="1">
      <c r="B50" s="49" t="s">
        <v>83</v>
      </c>
      <c r="C50" s="49" t="s">
        <v>392</v>
      </c>
      <c r="D50" s="50" t="s">
        <v>440</v>
      </c>
      <c r="E50" s="51" t="s">
        <v>394</v>
      </c>
      <c r="F50" s="52">
        <v>0.39</v>
      </c>
      <c r="G50" s="49" t="s">
        <v>441</v>
      </c>
    </row>
    <row r="51" spans="2:7" ht="18" customHeight="1">
      <c r="B51" s="49" t="s">
        <v>83</v>
      </c>
      <c r="C51" s="49" t="s">
        <v>392</v>
      </c>
      <c r="D51" s="50" t="s">
        <v>442</v>
      </c>
      <c r="E51" s="51" t="s">
        <v>394</v>
      </c>
      <c r="F51" s="52">
        <v>0.66</v>
      </c>
      <c r="G51" s="49" t="s">
        <v>441</v>
      </c>
    </row>
    <row r="52" spans="2:7" ht="18" customHeight="1">
      <c r="B52" s="49" t="s">
        <v>83</v>
      </c>
      <c r="C52" s="49" t="s">
        <v>392</v>
      </c>
      <c r="D52" s="50" t="s">
        <v>443</v>
      </c>
      <c r="E52" s="51" t="s">
        <v>394</v>
      </c>
      <c r="F52" s="52">
        <v>0.60799999999999998</v>
      </c>
      <c r="G52" s="49" t="s">
        <v>441</v>
      </c>
    </row>
    <row r="53" spans="2:7" ht="18" customHeight="1">
      <c r="B53" s="49" t="s">
        <v>83</v>
      </c>
      <c r="C53" s="49" t="s">
        <v>392</v>
      </c>
      <c r="D53" s="50" t="s">
        <v>444</v>
      </c>
      <c r="E53" s="51" t="s">
        <v>394</v>
      </c>
      <c r="F53" s="52">
        <v>0.49399999999999999</v>
      </c>
      <c r="G53" s="49" t="s">
        <v>441</v>
      </c>
    </row>
    <row r="54" spans="2:7" ht="18" customHeight="1">
      <c r="B54" s="49" t="s">
        <v>83</v>
      </c>
      <c r="C54" s="49" t="s">
        <v>392</v>
      </c>
      <c r="D54" s="50" t="s">
        <v>445</v>
      </c>
      <c r="E54" s="51" t="s">
        <v>394</v>
      </c>
      <c r="F54" s="52">
        <v>0.60960000000000003</v>
      </c>
      <c r="G54" s="49" t="s">
        <v>446</v>
      </c>
    </row>
    <row r="55" spans="2:7" ht="18" customHeight="1">
      <c r="B55" s="49" t="s">
        <v>83</v>
      </c>
      <c r="C55" s="49" t="s">
        <v>392</v>
      </c>
      <c r="D55" s="50" t="s">
        <v>447</v>
      </c>
      <c r="E55" s="51" t="s">
        <v>394</v>
      </c>
      <c r="F55" s="52">
        <v>0.82730000000000004</v>
      </c>
      <c r="G55" s="49"/>
    </row>
    <row r="56" spans="2:7" ht="18" customHeight="1">
      <c r="B56" s="49" t="s">
        <v>448</v>
      </c>
      <c r="C56" s="49" t="s">
        <v>449</v>
      </c>
      <c r="D56" s="50" t="s">
        <v>450</v>
      </c>
      <c r="E56" s="51" t="s">
        <v>451</v>
      </c>
      <c r="F56" s="52">
        <v>0.11</v>
      </c>
      <c r="G56" s="49" t="s">
        <v>452</v>
      </c>
    </row>
    <row r="57" spans="2:7" ht="18" customHeight="1">
      <c r="B57" s="49" t="s">
        <v>448</v>
      </c>
      <c r="C57" s="49" t="s">
        <v>449</v>
      </c>
      <c r="D57" s="50" t="s">
        <v>453</v>
      </c>
      <c r="E57" s="51" t="s">
        <v>451</v>
      </c>
      <c r="F57" s="53">
        <v>0.1033</v>
      </c>
      <c r="G57" s="49" t="s">
        <v>454</v>
      </c>
    </row>
    <row r="58" spans="2:7" ht="18" customHeight="1">
      <c r="B58" s="49" t="s">
        <v>448</v>
      </c>
      <c r="C58" s="49" t="s">
        <v>449</v>
      </c>
      <c r="D58" s="50" t="s">
        <v>455</v>
      </c>
      <c r="E58" s="51" t="s">
        <v>451</v>
      </c>
      <c r="F58" s="53">
        <v>5.33E-2</v>
      </c>
      <c r="G58" s="49" t="s">
        <v>454</v>
      </c>
    </row>
    <row r="59" spans="2:7" ht="18" customHeight="1">
      <c r="B59" s="60" t="s">
        <v>448</v>
      </c>
      <c r="C59" s="60" t="s">
        <v>449</v>
      </c>
      <c r="D59" s="61" t="s">
        <v>456</v>
      </c>
      <c r="E59" s="62" t="s">
        <v>451</v>
      </c>
      <c r="F59" s="63">
        <v>0.11509999999999999</v>
      </c>
      <c r="G59" s="60"/>
    </row>
    <row r="60" spans="2:7" ht="18" customHeight="1">
      <c r="B60" s="60" t="s">
        <v>448</v>
      </c>
      <c r="C60" s="60" t="s">
        <v>449</v>
      </c>
      <c r="D60" s="61" t="s">
        <v>457</v>
      </c>
      <c r="E60" s="62" t="s">
        <v>451</v>
      </c>
      <c r="F60" s="63">
        <v>6.6600000000000006E-2</v>
      </c>
      <c r="G60" s="60"/>
    </row>
    <row r="61" spans="2:7" ht="18" customHeight="1">
      <c r="B61" s="60" t="s">
        <v>448</v>
      </c>
      <c r="C61" s="60" t="s">
        <v>449</v>
      </c>
      <c r="D61" s="61" t="s">
        <v>458</v>
      </c>
      <c r="E61" s="62" t="s">
        <v>451</v>
      </c>
      <c r="F61" s="63">
        <v>7.6399999999999996E-2</v>
      </c>
      <c r="G61" s="60" t="s">
        <v>459</v>
      </c>
    </row>
    <row r="62" spans="2:7" ht="18" customHeight="1">
      <c r="B62" s="60" t="s">
        <v>448</v>
      </c>
      <c r="C62" s="60" t="s">
        <v>449</v>
      </c>
      <c r="D62" s="61" t="s">
        <v>458</v>
      </c>
      <c r="E62" s="62" t="s">
        <v>451</v>
      </c>
      <c r="F62" s="63">
        <v>2.5999999999999999E-2</v>
      </c>
      <c r="G62" s="60" t="s">
        <v>459</v>
      </c>
    </row>
    <row r="63" spans="2:7" ht="18" customHeight="1">
      <c r="B63" s="60" t="s">
        <v>448</v>
      </c>
      <c r="C63" s="60" t="s">
        <v>449</v>
      </c>
      <c r="D63" s="61" t="s">
        <v>460</v>
      </c>
      <c r="E63" s="62" t="s">
        <v>451</v>
      </c>
      <c r="F63" s="63">
        <v>0.10970000000000001</v>
      </c>
      <c r="G63" s="60" t="s">
        <v>459</v>
      </c>
    </row>
    <row r="64" spans="2:7" ht="18" customHeight="1">
      <c r="B64" s="60" t="s">
        <v>448</v>
      </c>
      <c r="C64" s="60" t="s">
        <v>449</v>
      </c>
      <c r="D64" s="61" t="s">
        <v>460</v>
      </c>
      <c r="E64" s="62" t="s">
        <v>451</v>
      </c>
      <c r="F64" s="63">
        <v>2.8199999999999999E-2</v>
      </c>
      <c r="G64" s="60" t="s">
        <v>459</v>
      </c>
    </row>
    <row r="65" spans="2:7" ht="18" customHeight="1">
      <c r="B65" s="60" t="s">
        <v>448</v>
      </c>
      <c r="C65" s="60" t="s">
        <v>449</v>
      </c>
      <c r="D65" s="61" t="s">
        <v>461</v>
      </c>
      <c r="E65" s="62" t="s">
        <v>451</v>
      </c>
      <c r="F65" s="63">
        <v>0.1232</v>
      </c>
      <c r="G65" s="60" t="s">
        <v>459</v>
      </c>
    </row>
    <row r="66" spans="2:7" ht="18" customHeight="1">
      <c r="B66" s="60" t="s">
        <v>448</v>
      </c>
      <c r="C66" s="60" t="s">
        <v>449</v>
      </c>
      <c r="D66" s="61" t="s">
        <v>461</v>
      </c>
      <c r="E66" s="62" t="s">
        <v>451</v>
      </c>
      <c r="F66" s="63">
        <v>3.0300000000000001E-2</v>
      </c>
      <c r="G66" s="60" t="s">
        <v>459</v>
      </c>
    </row>
    <row r="67" spans="2:7" ht="18" customHeight="1">
      <c r="B67" s="60" t="s">
        <v>448</v>
      </c>
      <c r="C67" s="60" t="s">
        <v>449</v>
      </c>
      <c r="D67" s="61" t="s">
        <v>462</v>
      </c>
      <c r="E67" s="62" t="s">
        <v>451</v>
      </c>
      <c r="F67" s="63">
        <v>0.11849999999999999</v>
      </c>
      <c r="G67" s="60" t="s">
        <v>459</v>
      </c>
    </row>
    <row r="68" spans="2:7" ht="18" customHeight="1">
      <c r="B68" s="60" t="s">
        <v>448</v>
      </c>
      <c r="C68" s="60" t="s">
        <v>449</v>
      </c>
      <c r="D68" s="61" t="s">
        <v>462</v>
      </c>
      <c r="E68" s="62" t="s">
        <v>451</v>
      </c>
      <c r="F68" s="63">
        <v>4.1399999999999999E-2</v>
      </c>
      <c r="G68" s="60" t="s">
        <v>459</v>
      </c>
    </row>
    <row r="69" spans="2:7" ht="18" customHeight="1">
      <c r="B69" s="60" t="s">
        <v>448</v>
      </c>
      <c r="C69" s="60" t="s">
        <v>449</v>
      </c>
      <c r="D69" s="61" t="s">
        <v>463</v>
      </c>
      <c r="E69" s="62" t="s">
        <v>451</v>
      </c>
      <c r="F69" s="63">
        <v>0.121</v>
      </c>
      <c r="G69" s="60" t="s">
        <v>459</v>
      </c>
    </row>
    <row r="70" spans="2:7" ht="18" customHeight="1">
      <c r="B70" s="60" t="s">
        <v>448</v>
      </c>
      <c r="C70" s="60" t="s">
        <v>449</v>
      </c>
      <c r="D70" s="61" t="s">
        <v>463</v>
      </c>
      <c r="E70" s="62" t="s">
        <v>451</v>
      </c>
      <c r="F70" s="63">
        <v>6.2300000000000001E-2</v>
      </c>
      <c r="G70" s="60" t="s">
        <v>459</v>
      </c>
    </row>
    <row r="71" spans="2:7" ht="18" customHeight="1">
      <c r="B71" s="60" t="s">
        <v>448</v>
      </c>
      <c r="C71" s="60" t="s">
        <v>449</v>
      </c>
      <c r="D71" s="61" t="s">
        <v>464</v>
      </c>
      <c r="E71" s="62" t="s">
        <v>451</v>
      </c>
      <c r="F71" s="63">
        <v>0.1235</v>
      </c>
      <c r="G71" s="60" t="s">
        <v>459</v>
      </c>
    </row>
    <row r="72" spans="2:7" ht="18" customHeight="1">
      <c r="B72" s="60" t="s">
        <v>448</v>
      </c>
      <c r="C72" s="60" t="s">
        <v>449</v>
      </c>
      <c r="D72" s="61" t="s">
        <v>464</v>
      </c>
      <c r="E72" s="62" t="s">
        <v>451</v>
      </c>
      <c r="F72" s="63">
        <v>5.45E-2</v>
      </c>
      <c r="G72" s="60" t="s">
        <v>459</v>
      </c>
    </row>
    <row r="73" spans="2:7" ht="18" customHeight="1">
      <c r="B73" s="60" t="s">
        <v>448</v>
      </c>
      <c r="C73" s="60" t="s">
        <v>449</v>
      </c>
      <c r="D73" s="61" t="s">
        <v>465</v>
      </c>
      <c r="E73" s="62" t="s">
        <v>451</v>
      </c>
      <c r="F73" s="63">
        <v>0.12470000000000001</v>
      </c>
      <c r="G73" s="60" t="s">
        <v>459</v>
      </c>
    </row>
    <row r="74" spans="2:7" ht="18" customHeight="1">
      <c r="B74" s="60" t="s">
        <v>448</v>
      </c>
      <c r="C74" s="60" t="s">
        <v>449</v>
      </c>
      <c r="D74" s="61" t="s">
        <v>465</v>
      </c>
      <c r="E74" s="62" t="s">
        <v>451</v>
      </c>
      <c r="F74" s="63">
        <v>4.82E-2</v>
      </c>
      <c r="G74" s="60" t="s">
        <v>459</v>
      </c>
    </row>
    <row r="75" spans="2:7" ht="18" customHeight="1">
      <c r="B75" s="60" t="s">
        <v>448</v>
      </c>
      <c r="C75" s="60" t="s">
        <v>449</v>
      </c>
      <c r="D75" s="61" t="s">
        <v>466</v>
      </c>
      <c r="E75" s="62" t="s">
        <v>451</v>
      </c>
      <c r="F75" s="63">
        <v>0.1216</v>
      </c>
      <c r="G75" s="60" t="s">
        <v>459</v>
      </c>
    </row>
    <row r="76" spans="2:7" ht="18" customHeight="1">
      <c r="B76" s="60" t="s">
        <v>448</v>
      </c>
      <c r="C76" s="60" t="s">
        <v>449</v>
      </c>
      <c r="D76" s="61" t="s">
        <v>466</v>
      </c>
      <c r="E76" s="62" t="s">
        <v>451</v>
      </c>
      <c r="F76" s="63">
        <v>6.3200000000000006E-2</v>
      </c>
      <c r="G76" s="60" t="s">
        <v>459</v>
      </c>
    </row>
    <row r="77" spans="2:7" ht="18" customHeight="1">
      <c r="B77" s="60" t="s">
        <v>448</v>
      </c>
      <c r="C77" s="60" t="s">
        <v>449</v>
      </c>
      <c r="D77" s="61" t="s">
        <v>467</v>
      </c>
      <c r="E77" s="62" t="s">
        <v>451</v>
      </c>
      <c r="F77" s="63">
        <v>0.12130000000000001</v>
      </c>
      <c r="G77" s="60" t="s">
        <v>459</v>
      </c>
    </row>
    <row r="78" spans="2:7" ht="18" customHeight="1">
      <c r="B78" s="60" t="s">
        <v>448</v>
      </c>
      <c r="C78" s="60" t="s">
        <v>449</v>
      </c>
      <c r="D78" s="61" t="s">
        <v>467</v>
      </c>
      <c r="E78" s="62" t="s">
        <v>451</v>
      </c>
      <c r="F78" s="63">
        <v>2.8799999999999999E-2</v>
      </c>
      <c r="G78" s="60" t="s">
        <v>459</v>
      </c>
    </row>
    <row r="79" spans="2:7" ht="18" customHeight="1">
      <c r="B79" s="60" t="s">
        <v>448</v>
      </c>
      <c r="C79" s="60" t="s">
        <v>449</v>
      </c>
      <c r="D79" s="61" t="s">
        <v>468</v>
      </c>
      <c r="E79" s="62" t="s">
        <v>451</v>
      </c>
      <c r="F79" s="63">
        <v>0.11509999999999999</v>
      </c>
      <c r="G79" s="60" t="s">
        <v>459</v>
      </c>
    </row>
    <row r="80" spans="2:7" ht="18" customHeight="1">
      <c r="B80" s="60" t="s">
        <v>448</v>
      </c>
      <c r="C80" s="60" t="s">
        <v>449</v>
      </c>
      <c r="D80" s="61" t="s">
        <v>468</v>
      </c>
      <c r="E80" s="62" t="s">
        <v>451</v>
      </c>
      <c r="F80" s="63">
        <v>2.7099999999999999E-2</v>
      </c>
      <c r="G80" s="60" t="s">
        <v>459</v>
      </c>
    </row>
    <row r="81" spans="2:7" ht="18" customHeight="1">
      <c r="B81" s="60" t="s">
        <v>448</v>
      </c>
      <c r="C81" s="60" t="s">
        <v>449</v>
      </c>
      <c r="D81" s="61" t="s">
        <v>469</v>
      </c>
      <c r="E81" s="62" t="s">
        <v>451</v>
      </c>
      <c r="F81" s="63">
        <v>0.11020000000000001</v>
      </c>
      <c r="G81" s="60" t="s">
        <v>459</v>
      </c>
    </row>
    <row r="82" spans="2:7" ht="18" customHeight="1">
      <c r="B82" s="60" t="s">
        <v>448</v>
      </c>
      <c r="C82" s="60" t="s">
        <v>449</v>
      </c>
      <c r="D82" s="61" t="s">
        <v>469</v>
      </c>
      <c r="E82" s="62" t="s">
        <v>451</v>
      </c>
      <c r="F82" s="63">
        <v>3.2800000000000003E-2</v>
      </c>
      <c r="G82" s="60" t="s">
        <v>459</v>
      </c>
    </row>
    <row r="83" spans="2:7" ht="18" customHeight="1">
      <c r="B83" s="60" t="s">
        <v>448</v>
      </c>
      <c r="C83" s="60" t="s">
        <v>449</v>
      </c>
      <c r="D83" s="61" t="s">
        <v>470</v>
      </c>
      <c r="E83" s="62" t="s">
        <v>451</v>
      </c>
      <c r="F83" s="63">
        <v>0.1167</v>
      </c>
      <c r="G83" s="60" t="s">
        <v>459</v>
      </c>
    </row>
    <row r="84" spans="2:7" ht="18" customHeight="1">
      <c r="B84" s="60" t="s">
        <v>448</v>
      </c>
      <c r="C84" s="60" t="s">
        <v>449</v>
      </c>
      <c r="D84" s="61" t="s">
        <v>470</v>
      </c>
      <c r="E84" s="62" t="s">
        <v>451</v>
      </c>
      <c r="F84" s="63">
        <v>4.7800000000000002E-2</v>
      </c>
      <c r="G84" s="60" t="s">
        <v>459</v>
      </c>
    </row>
    <row r="85" spans="2:7" ht="18" customHeight="1">
      <c r="B85" s="60" t="s">
        <v>448</v>
      </c>
      <c r="C85" s="60" t="s">
        <v>449</v>
      </c>
      <c r="D85" s="61" t="s">
        <v>471</v>
      </c>
      <c r="E85" s="62" t="s">
        <v>451</v>
      </c>
      <c r="F85" s="63">
        <v>0.12470000000000001</v>
      </c>
      <c r="G85" s="60" t="s">
        <v>459</v>
      </c>
    </row>
    <row r="86" spans="2:7" ht="18" customHeight="1">
      <c r="B86" s="60" t="s">
        <v>448</v>
      </c>
      <c r="C86" s="60" t="s">
        <v>449</v>
      </c>
      <c r="D86" s="61" t="s">
        <v>471</v>
      </c>
      <c r="E86" s="62" t="s">
        <v>451</v>
      </c>
      <c r="F86" s="63">
        <v>5.4199999999999998E-2</v>
      </c>
      <c r="G86" s="60" t="s">
        <v>459</v>
      </c>
    </row>
    <row r="87" spans="2:7" ht="18" customHeight="1">
      <c r="B87" s="60" t="s">
        <v>448</v>
      </c>
      <c r="C87" s="60" t="s">
        <v>449</v>
      </c>
      <c r="D87" s="61" t="s">
        <v>472</v>
      </c>
      <c r="E87" s="62" t="s">
        <v>451</v>
      </c>
      <c r="F87" s="63">
        <v>0.1013</v>
      </c>
      <c r="G87" s="60" t="s">
        <v>459</v>
      </c>
    </row>
    <row r="88" spans="2:7" ht="18" customHeight="1">
      <c r="B88" s="60" t="s">
        <v>448</v>
      </c>
      <c r="C88" s="60" t="s">
        <v>449</v>
      </c>
      <c r="D88" s="61" t="s">
        <v>472</v>
      </c>
      <c r="E88" s="62" t="s">
        <v>451</v>
      </c>
      <c r="F88" s="63">
        <v>4.3400000000000001E-2</v>
      </c>
      <c r="G88" s="60" t="s">
        <v>459</v>
      </c>
    </row>
    <row r="89" spans="2:7" ht="18" customHeight="1">
      <c r="B89" s="60" t="s">
        <v>448</v>
      </c>
      <c r="C89" s="60" t="s">
        <v>449</v>
      </c>
      <c r="D89" s="61" t="s">
        <v>473</v>
      </c>
      <c r="E89" s="62" t="s">
        <v>451</v>
      </c>
      <c r="F89" s="63">
        <v>0.1013</v>
      </c>
      <c r="G89" s="60" t="s">
        <v>459</v>
      </c>
    </row>
    <row r="90" spans="2:7" ht="18" customHeight="1">
      <c r="B90" s="64" t="s">
        <v>448</v>
      </c>
      <c r="C90" s="64" t="s">
        <v>449</v>
      </c>
      <c r="D90" s="65" t="s">
        <v>473</v>
      </c>
      <c r="E90" s="66" t="s">
        <v>451</v>
      </c>
      <c r="F90" s="67">
        <v>5.2400000000000002E-2</v>
      </c>
      <c r="G90" s="64" t="s">
        <v>459</v>
      </c>
    </row>
  </sheetData>
  <autoFilter ref="A11:XEZ90" xr:uid="{00000000-0009-0000-0000-000003000000}"/>
  <mergeCells count="4">
    <mergeCell ref="B2:E2"/>
    <mergeCell ref="B3:E3"/>
    <mergeCell ref="B4:E4"/>
    <mergeCell ref="B9:E9"/>
  </mergeCells>
  <phoneticPr fontId="40" type="noConversion"/>
  <pageMargins left="0.75" right="0.75" top="1" bottom="1" header="0.5" footer="0.5"/>
  <headerFooter>
    <oddFooter>&amp;L_x000D_&amp;1#&amp;"Aptos"&amp;10&amp;K000000 NSF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XEY312"/>
  <sheetViews>
    <sheetView tabSelected="1" topLeftCell="A69" zoomScale="80" zoomScaleNormal="80" workbookViewId="0">
      <selection activeCell="F16" sqref="F16"/>
    </sheetView>
  </sheetViews>
  <sheetFormatPr defaultColWidth="9" defaultRowHeight="18" customHeight="1"/>
  <cols>
    <col min="1" max="1" width="3.61328125" style="22" customWidth="1"/>
    <col min="2" max="2" width="18" style="22" customWidth="1"/>
    <col min="3" max="3" width="38" style="22" customWidth="1"/>
    <col min="4" max="4" width="18" style="22" customWidth="1"/>
    <col min="5" max="5" width="24.15234375" style="24" customWidth="1"/>
    <col min="6" max="6" width="16.07421875" style="25" customWidth="1"/>
    <col min="7" max="7" width="19.3828125" style="22" customWidth="1"/>
    <col min="8" max="10" width="25.15234375" style="22" customWidth="1"/>
    <col min="11" max="16377" width="9" style="22"/>
    <col min="16380" max="16384" width="9" style="22"/>
  </cols>
  <sheetData>
    <row r="1" spans="2:7 16378:16379" ht="18" customHeight="1">
      <c r="E1" s="26"/>
      <c r="F1" s="22"/>
      <c r="G1" s="27"/>
      <c r="XEX1" s="22"/>
      <c r="XEY1" s="22"/>
    </row>
    <row r="2" spans="2:7 16378:16379" ht="36" customHeight="1">
      <c r="B2" s="111" t="s">
        <v>474</v>
      </c>
      <c r="C2" s="111"/>
      <c r="D2" s="111"/>
      <c r="E2" s="112"/>
      <c r="F2" s="28"/>
      <c r="G2" s="28"/>
      <c r="XEX2" s="22"/>
      <c r="XEY2" s="22"/>
    </row>
    <row r="3" spans="2:7 16378:16379" ht="18" customHeight="1">
      <c r="B3" s="113"/>
      <c r="C3" s="113"/>
      <c r="D3" s="113"/>
      <c r="E3" s="114"/>
      <c r="F3" s="22"/>
      <c r="XEX3" s="22"/>
      <c r="XEY3" s="22"/>
    </row>
    <row r="4" spans="2:7 16378:16379" ht="18" customHeight="1">
      <c r="B4" s="115" t="s">
        <v>68</v>
      </c>
      <c r="C4" s="115"/>
      <c r="D4" s="115"/>
      <c r="E4" s="116"/>
      <c r="F4" s="29"/>
      <c r="G4" s="29"/>
      <c r="XEX4" s="22"/>
      <c r="XEY4" s="22"/>
    </row>
    <row r="5" spans="2:7 16378:16379" ht="18" customHeight="1">
      <c r="E5" s="26"/>
      <c r="F5" s="22"/>
      <c r="XEX5" s="22"/>
      <c r="XEY5" s="22"/>
    </row>
    <row r="6" spans="2:7 16378:16379" ht="36" customHeight="1">
      <c r="B6" s="30" t="s">
        <v>2</v>
      </c>
      <c r="C6" s="31" t="s">
        <v>3</v>
      </c>
      <c r="D6" s="30" t="s">
        <v>138</v>
      </c>
      <c r="E6" s="31" t="s">
        <v>139</v>
      </c>
      <c r="F6" s="22"/>
      <c r="XEX6" s="22"/>
      <c r="XEY6" s="22"/>
    </row>
    <row r="7" spans="2:7 16378:16379" ht="50.05" customHeight="1">
      <c r="B7" s="30" t="s">
        <v>140</v>
      </c>
      <c r="C7" s="31" t="s">
        <v>475</v>
      </c>
      <c r="D7" s="30" t="s">
        <v>142</v>
      </c>
      <c r="E7" s="31" t="s">
        <v>476</v>
      </c>
      <c r="F7" s="22"/>
      <c r="XEX7" s="22"/>
      <c r="XEY7" s="22"/>
    </row>
    <row r="8" spans="2:7 16378:16379" ht="18" customHeight="1">
      <c r="E8" s="26"/>
      <c r="F8" s="22"/>
      <c r="XEX8" s="22"/>
      <c r="XEY8" s="22"/>
    </row>
    <row r="9" spans="2:7 16378:16379" ht="18" customHeight="1">
      <c r="B9" s="115" t="s">
        <v>144</v>
      </c>
      <c r="C9" s="115" t="s">
        <v>7</v>
      </c>
      <c r="D9" s="115" t="s">
        <v>7</v>
      </c>
      <c r="E9" s="116" t="s">
        <v>7</v>
      </c>
      <c r="F9" s="29"/>
      <c r="G9" s="29"/>
      <c r="XEX9" s="22"/>
      <c r="XEY9" s="22"/>
    </row>
    <row r="10" spans="2:7 16378:16379" ht="18" customHeight="1">
      <c r="E10" s="26"/>
      <c r="F10" s="22"/>
      <c r="XEX10" s="22"/>
      <c r="XEY10" s="22"/>
    </row>
    <row r="11" spans="2:7 16378:16379" s="23" customFormat="1" ht="18" customHeight="1">
      <c r="B11" s="32" t="s">
        <v>389</v>
      </c>
      <c r="C11" s="33" t="s">
        <v>145</v>
      </c>
      <c r="D11" s="34" t="s">
        <v>477</v>
      </c>
      <c r="E11" s="34" t="s">
        <v>147</v>
      </c>
      <c r="F11" s="34" t="s">
        <v>148</v>
      </c>
      <c r="G11" s="32" t="s">
        <v>153</v>
      </c>
      <c r="XEX11" s="35"/>
      <c r="XEY11" s="35"/>
    </row>
    <row r="12" spans="2:7 16378:16379" ht="18" customHeight="1">
      <c r="B12" s="36" t="s">
        <v>934</v>
      </c>
      <c r="C12" s="36" t="s">
        <v>935</v>
      </c>
      <c r="D12" s="37" t="s">
        <v>479</v>
      </c>
      <c r="E12" s="38" t="s">
        <v>243</v>
      </c>
      <c r="F12" s="39">
        <v>2.0495999999999999</v>
      </c>
      <c r="G12" s="36" t="s">
        <v>480</v>
      </c>
      <c r="XEX12" s="22"/>
      <c r="XEY12" s="22"/>
    </row>
    <row r="13" spans="2:7 16378:16379" ht="18" customHeight="1">
      <c r="B13" s="40" t="s">
        <v>478</v>
      </c>
      <c r="C13" s="40" t="s">
        <v>481</v>
      </c>
      <c r="D13" s="41" t="s">
        <v>479</v>
      </c>
      <c r="E13" s="42" t="s">
        <v>243</v>
      </c>
      <c r="F13" s="43">
        <v>14.0362091111111</v>
      </c>
      <c r="G13" s="40" t="s">
        <v>482</v>
      </c>
      <c r="XEX13" s="22"/>
      <c r="XEY13" s="22"/>
    </row>
    <row r="14" spans="2:7 16378:16379" ht="18" customHeight="1">
      <c r="B14" s="40" t="s">
        <v>478</v>
      </c>
      <c r="C14" s="40" t="s">
        <v>483</v>
      </c>
      <c r="D14" s="41" t="s">
        <v>479</v>
      </c>
      <c r="E14" s="42" t="s">
        <v>243</v>
      </c>
      <c r="F14" s="43">
        <v>15.3950666666667</v>
      </c>
      <c r="G14" s="40" t="s">
        <v>484</v>
      </c>
      <c r="XEX14" s="22"/>
      <c r="XEY14" s="22"/>
    </row>
    <row r="15" spans="2:7 16378:16379" ht="18" customHeight="1">
      <c r="B15" s="40" t="s">
        <v>478</v>
      </c>
      <c r="C15" s="40" t="s">
        <v>485</v>
      </c>
      <c r="D15" s="41" t="s">
        <v>479</v>
      </c>
      <c r="E15" s="42" t="s">
        <v>243</v>
      </c>
      <c r="F15" s="43">
        <v>18.791126666666699</v>
      </c>
      <c r="G15" s="40" t="s">
        <v>486</v>
      </c>
      <c r="XEX15" s="22"/>
      <c r="XEY15" s="22"/>
    </row>
    <row r="16" spans="2:7 16378:16379" ht="18" customHeight="1">
      <c r="B16" s="44" t="s">
        <v>478</v>
      </c>
      <c r="C16" s="44" t="s">
        <v>941</v>
      </c>
      <c r="D16" s="45" t="s">
        <v>479</v>
      </c>
      <c r="E16" s="46" t="s">
        <v>243</v>
      </c>
      <c r="F16" s="47">
        <v>6.4243856896551703</v>
      </c>
      <c r="G16" s="44" t="s">
        <v>942</v>
      </c>
      <c r="XEX16" s="22"/>
      <c r="XEY16" s="22"/>
    </row>
    <row r="17" spans="2:7" s="22" customFormat="1" ht="18" customHeight="1">
      <c r="B17" s="40" t="s">
        <v>478</v>
      </c>
      <c r="C17" s="40" t="s">
        <v>487</v>
      </c>
      <c r="D17" s="41" t="s">
        <v>488</v>
      </c>
      <c r="E17" s="42" t="s">
        <v>243</v>
      </c>
      <c r="F17" s="43">
        <v>74.599999999999994</v>
      </c>
      <c r="G17" s="40" t="s">
        <v>489</v>
      </c>
    </row>
    <row r="18" spans="2:7" s="22" customFormat="1" ht="18" customHeight="1">
      <c r="B18" s="40" t="s">
        <v>478</v>
      </c>
      <c r="C18" s="40" t="s">
        <v>490</v>
      </c>
      <c r="D18" s="41" t="s">
        <v>488</v>
      </c>
      <c r="E18" s="42" t="s">
        <v>491</v>
      </c>
      <c r="F18" s="43">
        <v>160.91200000000001</v>
      </c>
      <c r="G18" s="40" t="s">
        <v>492</v>
      </c>
    </row>
    <row r="19" spans="2:7" s="22" customFormat="1" ht="18" customHeight="1">
      <c r="B19" s="40" t="s">
        <v>478</v>
      </c>
      <c r="C19" s="40" t="s">
        <v>493</v>
      </c>
      <c r="D19" s="41" t="s">
        <v>488</v>
      </c>
      <c r="E19" s="42" t="s">
        <v>243</v>
      </c>
      <c r="F19" s="43">
        <v>11.197492499999999</v>
      </c>
      <c r="G19" s="40" t="s">
        <v>494</v>
      </c>
    </row>
    <row r="20" spans="2:7" s="22" customFormat="1" ht="18" customHeight="1">
      <c r="B20" s="40" t="s">
        <v>478</v>
      </c>
      <c r="C20" s="40" t="s">
        <v>495</v>
      </c>
      <c r="D20" s="41" t="s">
        <v>488</v>
      </c>
      <c r="E20" s="42" t="s">
        <v>243</v>
      </c>
      <c r="F20" s="43">
        <v>10.0020155833333</v>
      </c>
      <c r="G20" s="40" t="s">
        <v>496</v>
      </c>
    </row>
    <row r="21" spans="2:7" s="22" customFormat="1" ht="18" customHeight="1">
      <c r="B21" s="40" t="s">
        <v>478</v>
      </c>
      <c r="C21" s="40" t="s">
        <v>497</v>
      </c>
      <c r="D21" s="41" t="s">
        <v>488</v>
      </c>
      <c r="E21" s="42" t="s">
        <v>243</v>
      </c>
      <c r="F21" s="43">
        <v>4.0116666666666703</v>
      </c>
      <c r="G21" s="40" t="s">
        <v>498</v>
      </c>
    </row>
    <row r="22" spans="2:7" s="22" customFormat="1" ht="18" customHeight="1">
      <c r="B22" s="40" t="s">
        <v>478</v>
      </c>
      <c r="C22" s="40" t="s">
        <v>499</v>
      </c>
      <c r="D22" s="41" t="s">
        <v>488</v>
      </c>
      <c r="E22" s="42" t="s">
        <v>243</v>
      </c>
      <c r="F22" s="43">
        <v>4.0636293999999999</v>
      </c>
      <c r="G22" s="40" t="s">
        <v>500</v>
      </c>
    </row>
    <row r="23" spans="2:7" s="22" customFormat="1" ht="18" customHeight="1">
      <c r="B23" s="40" t="s">
        <v>478</v>
      </c>
      <c r="C23" s="40" t="s">
        <v>501</v>
      </c>
      <c r="D23" s="41" t="s">
        <v>488</v>
      </c>
      <c r="E23" s="42" t="s">
        <v>243</v>
      </c>
      <c r="F23" s="43">
        <v>6.2751599999999996</v>
      </c>
      <c r="G23" s="40" t="s">
        <v>502</v>
      </c>
    </row>
    <row r="24" spans="2:7" s="22" customFormat="1" ht="18" customHeight="1">
      <c r="B24" s="40" t="s">
        <v>478</v>
      </c>
      <c r="C24" s="40" t="s">
        <v>503</v>
      </c>
      <c r="D24" s="41" t="s">
        <v>488</v>
      </c>
      <c r="E24" s="42" t="s">
        <v>243</v>
      </c>
      <c r="F24" s="43">
        <v>3.85873</v>
      </c>
      <c r="G24" s="40" t="s">
        <v>504</v>
      </c>
    </row>
    <row r="25" spans="2:7" s="22" customFormat="1" ht="18" customHeight="1">
      <c r="B25" s="40" t="s">
        <v>478</v>
      </c>
      <c r="C25" s="40" t="s">
        <v>505</v>
      </c>
      <c r="D25" s="41" t="s">
        <v>488</v>
      </c>
      <c r="E25" s="42" t="s">
        <v>243</v>
      </c>
      <c r="F25" s="43">
        <v>3.58708616666667</v>
      </c>
      <c r="G25" s="40" t="s">
        <v>506</v>
      </c>
    </row>
    <row r="26" spans="2:7" s="22" customFormat="1" ht="18" customHeight="1">
      <c r="B26" s="40" t="s">
        <v>478</v>
      </c>
      <c r="C26" s="40" t="s">
        <v>507</v>
      </c>
      <c r="D26" s="41" t="s">
        <v>488</v>
      </c>
      <c r="E26" s="42" t="s">
        <v>243</v>
      </c>
      <c r="F26" s="43">
        <v>1.5910476190476199</v>
      </c>
      <c r="G26" s="40" t="s">
        <v>508</v>
      </c>
    </row>
    <row r="27" spans="2:7" s="22" customFormat="1" ht="18" customHeight="1">
      <c r="B27" s="40" t="s">
        <v>478</v>
      </c>
      <c r="C27" s="40" t="s">
        <v>509</v>
      </c>
      <c r="D27" s="41" t="s">
        <v>488</v>
      </c>
      <c r="E27" s="42" t="s">
        <v>243</v>
      </c>
      <c r="F27" s="43">
        <v>3.4535</v>
      </c>
      <c r="G27" s="40" t="s">
        <v>510</v>
      </c>
    </row>
    <row r="28" spans="2:7" s="22" customFormat="1" ht="18" customHeight="1">
      <c r="B28" s="40" t="s">
        <v>478</v>
      </c>
      <c r="C28" s="40" t="s">
        <v>511</v>
      </c>
      <c r="D28" s="41" t="s">
        <v>488</v>
      </c>
      <c r="E28" s="42" t="s">
        <v>243</v>
      </c>
      <c r="F28" s="43">
        <v>3.3735471666666701</v>
      </c>
      <c r="G28" s="40" t="s">
        <v>512</v>
      </c>
    </row>
    <row r="29" spans="2:7" s="22" customFormat="1" ht="18" customHeight="1">
      <c r="B29" s="40" t="s">
        <v>478</v>
      </c>
      <c r="C29" s="40" t="s">
        <v>513</v>
      </c>
      <c r="D29" s="41" t="s">
        <v>488</v>
      </c>
      <c r="E29" s="42" t="s">
        <v>243</v>
      </c>
      <c r="F29" s="43">
        <v>3.3264999999999998</v>
      </c>
      <c r="G29" s="40" t="s">
        <v>514</v>
      </c>
    </row>
    <row r="30" spans="2:7" s="22" customFormat="1" ht="18" customHeight="1">
      <c r="B30" s="40" t="s">
        <v>478</v>
      </c>
      <c r="C30" s="40" t="s">
        <v>515</v>
      </c>
      <c r="D30" s="41" t="s">
        <v>488</v>
      </c>
      <c r="E30" s="42" t="s">
        <v>243</v>
      </c>
      <c r="F30" s="43">
        <v>1.5890599999999999</v>
      </c>
      <c r="G30" s="40" t="s">
        <v>516</v>
      </c>
    </row>
    <row r="31" spans="2:7" s="22" customFormat="1" ht="18" customHeight="1">
      <c r="B31" s="44" t="s">
        <v>478</v>
      </c>
      <c r="C31" s="44" t="s">
        <v>943</v>
      </c>
      <c r="D31" s="45" t="s">
        <v>488</v>
      </c>
      <c r="E31" s="110" t="s">
        <v>938</v>
      </c>
      <c r="F31" s="138">
        <v>2330</v>
      </c>
      <c r="G31" s="44" t="s">
        <v>517</v>
      </c>
    </row>
    <row r="32" spans="2:7" s="22" customFormat="1" ht="18" customHeight="1">
      <c r="B32" s="40" t="s">
        <v>478</v>
      </c>
      <c r="C32" s="40" t="s">
        <v>518</v>
      </c>
      <c r="D32" s="41" t="s">
        <v>488</v>
      </c>
      <c r="E32" s="42" t="s">
        <v>243</v>
      </c>
      <c r="F32" s="43">
        <v>0.58636444444444402</v>
      </c>
      <c r="G32" s="40" t="s">
        <v>519</v>
      </c>
    </row>
    <row r="33" spans="2:7" s="22" customFormat="1" ht="18" customHeight="1">
      <c r="B33" s="40" t="s">
        <v>478</v>
      </c>
      <c r="C33" s="40" t="s">
        <v>520</v>
      </c>
      <c r="D33" s="41" t="s">
        <v>488</v>
      </c>
      <c r="E33" s="42" t="s">
        <v>243</v>
      </c>
      <c r="F33" s="43">
        <v>0.35064000000000001</v>
      </c>
      <c r="G33" s="40" t="s">
        <v>521</v>
      </c>
    </row>
    <row r="34" spans="2:7" s="22" customFormat="1" ht="18" customHeight="1">
      <c r="B34" s="40" t="s">
        <v>478</v>
      </c>
      <c r="C34" s="40" t="s">
        <v>522</v>
      </c>
      <c r="D34" s="41" t="s">
        <v>488</v>
      </c>
      <c r="E34" s="42" t="s">
        <v>243</v>
      </c>
      <c r="F34" s="43">
        <v>1.62</v>
      </c>
      <c r="G34" s="40" t="s">
        <v>523</v>
      </c>
    </row>
    <row r="35" spans="2:7" s="22" customFormat="1" ht="18" customHeight="1">
      <c r="B35" s="40" t="s">
        <v>478</v>
      </c>
      <c r="C35" s="40" t="s">
        <v>524</v>
      </c>
      <c r="D35" s="41" t="s">
        <v>488</v>
      </c>
      <c r="E35" s="42" t="s">
        <v>243</v>
      </c>
      <c r="F35" s="43">
        <v>1.7651896</v>
      </c>
      <c r="G35" s="40" t="s">
        <v>525</v>
      </c>
    </row>
    <row r="36" spans="2:7" s="22" customFormat="1" ht="18" customHeight="1">
      <c r="B36" s="40" t="s">
        <v>478</v>
      </c>
      <c r="C36" s="40" t="s">
        <v>526</v>
      </c>
      <c r="D36" s="41" t="s">
        <v>488</v>
      </c>
      <c r="E36" s="42" t="s">
        <v>243</v>
      </c>
      <c r="F36" s="43">
        <v>5.26</v>
      </c>
      <c r="G36" s="40" t="s">
        <v>527</v>
      </c>
    </row>
    <row r="37" spans="2:7" s="22" customFormat="1" ht="18" customHeight="1">
      <c r="B37" s="40" t="s">
        <v>478</v>
      </c>
      <c r="C37" s="40" t="s">
        <v>528</v>
      </c>
      <c r="D37" s="41" t="s">
        <v>488</v>
      </c>
      <c r="E37" s="42" t="s">
        <v>243</v>
      </c>
      <c r="F37" s="43">
        <v>7.8200570000000003</v>
      </c>
      <c r="G37" s="40" t="s">
        <v>529</v>
      </c>
    </row>
    <row r="38" spans="2:7" s="22" customFormat="1" ht="18" customHeight="1">
      <c r="B38" s="40" t="s">
        <v>478</v>
      </c>
      <c r="C38" s="40" t="s">
        <v>530</v>
      </c>
      <c r="D38" s="41" t="s">
        <v>531</v>
      </c>
      <c r="E38" s="136" t="s">
        <v>938</v>
      </c>
      <c r="F38" s="137">
        <v>730.79</v>
      </c>
      <c r="G38" s="40" t="s">
        <v>532</v>
      </c>
    </row>
    <row r="39" spans="2:7" s="22" customFormat="1" ht="18" customHeight="1">
      <c r="B39" s="40" t="s">
        <v>478</v>
      </c>
      <c r="C39" s="40" t="s">
        <v>533</v>
      </c>
      <c r="D39" s="41" t="s">
        <v>531</v>
      </c>
      <c r="E39" s="42" t="s">
        <v>170</v>
      </c>
      <c r="F39" s="43">
        <v>282.40431370588198</v>
      </c>
      <c r="G39" s="40" t="s">
        <v>534</v>
      </c>
    </row>
    <row r="40" spans="2:7" s="22" customFormat="1" ht="18" customHeight="1">
      <c r="B40" s="40" t="s">
        <v>478</v>
      </c>
      <c r="C40" s="40" t="s">
        <v>535</v>
      </c>
      <c r="D40" s="41" t="s">
        <v>531</v>
      </c>
      <c r="E40" s="42" t="s">
        <v>243</v>
      </c>
      <c r="F40" s="43">
        <v>4.9699999999999996E-3</v>
      </c>
      <c r="G40" s="40" t="s">
        <v>536</v>
      </c>
    </row>
    <row r="41" spans="2:7" s="22" customFormat="1" ht="18" customHeight="1">
      <c r="B41" s="40" t="s">
        <v>478</v>
      </c>
      <c r="C41" s="40" t="s">
        <v>537</v>
      </c>
      <c r="D41" s="41" t="s">
        <v>531</v>
      </c>
      <c r="E41" s="42" t="s">
        <v>243</v>
      </c>
      <c r="F41" s="43">
        <v>0.523868</v>
      </c>
      <c r="G41" s="40" t="s">
        <v>538</v>
      </c>
    </row>
    <row r="42" spans="2:7" s="22" customFormat="1" ht="18" customHeight="1">
      <c r="B42" s="40" t="s">
        <v>478</v>
      </c>
      <c r="C42" s="40" t="s">
        <v>539</v>
      </c>
      <c r="D42" s="41" t="s">
        <v>531</v>
      </c>
      <c r="E42" s="42" t="s">
        <v>243</v>
      </c>
      <c r="F42" s="43">
        <v>1.4</v>
      </c>
      <c r="G42" s="40" t="s">
        <v>540</v>
      </c>
    </row>
    <row r="43" spans="2:7" s="22" customFormat="1" ht="18" customHeight="1">
      <c r="B43" s="40" t="s">
        <v>478</v>
      </c>
      <c r="C43" s="40" t="s">
        <v>541</v>
      </c>
      <c r="D43" s="41" t="s">
        <v>531</v>
      </c>
      <c r="E43" s="42" t="s">
        <v>243</v>
      </c>
      <c r="F43" s="43">
        <v>2.9857142857142902</v>
      </c>
      <c r="G43" s="40" t="s">
        <v>542</v>
      </c>
    </row>
    <row r="44" spans="2:7" s="22" customFormat="1" ht="18" customHeight="1">
      <c r="B44" s="40" t="s">
        <v>478</v>
      </c>
      <c r="C44" s="40" t="s">
        <v>543</v>
      </c>
      <c r="D44" s="41" t="s">
        <v>531</v>
      </c>
      <c r="E44" s="42" t="s">
        <v>243</v>
      </c>
      <c r="F44" s="43">
        <v>1.2084790909090899</v>
      </c>
      <c r="G44" s="40" t="s">
        <v>544</v>
      </c>
    </row>
    <row r="45" spans="2:7" s="22" customFormat="1" ht="18" customHeight="1">
      <c r="B45" s="44" t="s">
        <v>478</v>
      </c>
      <c r="C45" s="44" t="s">
        <v>944</v>
      </c>
      <c r="D45" s="45" t="s">
        <v>531</v>
      </c>
      <c r="E45" s="110" t="s">
        <v>938</v>
      </c>
      <c r="F45" s="138">
        <v>88.90916</v>
      </c>
      <c r="G45" s="44" t="s">
        <v>945</v>
      </c>
    </row>
    <row r="46" spans="2:7" s="22" customFormat="1" ht="18" customHeight="1">
      <c r="B46" s="40" t="s">
        <v>478</v>
      </c>
      <c r="C46" s="40" t="s">
        <v>545</v>
      </c>
      <c r="D46" s="41" t="s">
        <v>531</v>
      </c>
      <c r="E46" s="42" t="s">
        <v>243</v>
      </c>
      <c r="F46" s="43">
        <v>26.2907672222222</v>
      </c>
      <c r="G46" s="40" t="s">
        <v>546</v>
      </c>
    </row>
    <row r="47" spans="2:7" s="22" customFormat="1" ht="18" customHeight="1">
      <c r="B47" s="40" t="s">
        <v>478</v>
      </c>
      <c r="C47" s="40" t="s">
        <v>547</v>
      </c>
      <c r="D47" s="41" t="s">
        <v>531</v>
      </c>
      <c r="E47" s="42" t="s">
        <v>491</v>
      </c>
      <c r="F47" s="43">
        <v>43.671500000000002</v>
      </c>
      <c r="G47" s="40" t="s">
        <v>548</v>
      </c>
    </row>
    <row r="48" spans="2:7" s="22" customFormat="1" ht="18" customHeight="1">
      <c r="B48" s="40" t="s">
        <v>478</v>
      </c>
      <c r="C48" s="40" t="s">
        <v>549</v>
      </c>
      <c r="D48" s="41" t="s">
        <v>531</v>
      </c>
      <c r="E48" s="42" t="s">
        <v>170</v>
      </c>
      <c r="F48" s="43">
        <v>488.08727272727299</v>
      </c>
      <c r="G48" s="40" t="s">
        <v>550</v>
      </c>
    </row>
    <row r="49" spans="2:7" s="22" customFormat="1" ht="18" customHeight="1">
      <c r="B49" s="40" t="s">
        <v>478</v>
      </c>
      <c r="C49" s="40" t="s">
        <v>551</v>
      </c>
      <c r="D49" s="41" t="s">
        <v>531</v>
      </c>
      <c r="E49" s="42" t="s">
        <v>491</v>
      </c>
      <c r="F49" s="43">
        <v>121</v>
      </c>
      <c r="G49" s="40" t="s">
        <v>552</v>
      </c>
    </row>
    <row r="50" spans="2:7" s="22" customFormat="1" ht="18" customHeight="1">
      <c r="B50" s="40" t="s">
        <v>478</v>
      </c>
      <c r="C50" s="40" t="s">
        <v>553</v>
      </c>
      <c r="D50" s="41" t="s">
        <v>531</v>
      </c>
      <c r="E50" s="42" t="s">
        <v>170</v>
      </c>
      <c r="F50" s="43">
        <v>702.5</v>
      </c>
      <c r="G50" s="40" t="s">
        <v>554</v>
      </c>
    </row>
    <row r="51" spans="2:7" s="22" customFormat="1" ht="18" customHeight="1">
      <c r="B51" s="40" t="s">
        <v>478</v>
      </c>
      <c r="C51" s="40" t="s">
        <v>555</v>
      </c>
      <c r="D51" s="41" t="s">
        <v>531</v>
      </c>
      <c r="E51" s="42" t="s">
        <v>243</v>
      </c>
      <c r="F51" s="43">
        <v>5.01</v>
      </c>
      <c r="G51" s="40" t="s">
        <v>556</v>
      </c>
    </row>
    <row r="52" spans="2:7" s="22" customFormat="1" ht="18" customHeight="1">
      <c r="B52" s="40" t="s">
        <v>478</v>
      </c>
      <c r="C52" s="40" t="s">
        <v>557</v>
      </c>
      <c r="D52" s="41" t="s">
        <v>531</v>
      </c>
      <c r="E52" s="42" t="s">
        <v>243</v>
      </c>
      <c r="F52" s="43">
        <v>2.8561999999999999</v>
      </c>
      <c r="G52" s="40" t="s">
        <v>558</v>
      </c>
    </row>
    <row r="53" spans="2:7" s="22" customFormat="1" ht="18" customHeight="1">
      <c r="B53" s="40" t="s">
        <v>478</v>
      </c>
      <c r="C53" s="40" t="s">
        <v>559</v>
      </c>
      <c r="D53" s="41" t="s">
        <v>560</v>
      </c>
      <c r="E53" s="42" t="s">
        <v>243</v>
      </c>
      <c r="F53" s="43">
        <v>1.948364</v>
      </c>
      <c r="G53" s="40" t="s">
        <v>561</v>
      </c>
    </row>
    <row r="54" spans="2:7" s="22" customFormat="1" ht="18" customHeight="1">
      <c r="B54" s="40" t="s">
        <v>478</v>
      </c>
      <c r="C54" s="40" t="s">
        <v>562</v>
      </c>
      <c r="D54" s="41" t="s">
        <v>560</v>
      </c>
      <c r="E54" s="42" t="s">
        <v>243</v>
      </c>
      <c r="F54" s="43">
        <v>1.29840333333333</v>
      </c>
      <c r="G54" s="40" t="s">
        <v>563</v>
      </c>
    </row>
    <row r="55" spans="2:7" s="22" customFormat="1" ht="18" customHeight="1">
      <c r="B55" s="40" t="s">
        <v>478</v>
      </c>
      <c r="C55" s="40" t="s">
        <v>564</v>
      </c>
      <c r="D55" s="41" t="s">
        <v>560</v>
      </c>
      <c r="E55" s="136" t="s">
        <v>243</v>
      </c>
      <c r="F55" s="43">
        <v>11.067525</v>
      </c>
      <c r="G55" s="40" t="s">
        <v>566</v>
      </c>
    </row>
    <row r="56" spans="2:7" s="22" customFormat="1" ht="18" customHeight="1">
      <c r="B56" s="40" t="s">
        <v>478</v>
      </c>
      <c r="C56" s="40" t="s">
        <v>567</v>
      </c>
      <c r="D56" s="41" t="s">
        <v>560</v>
      </c>
      <c r="E56" s="42" t="s">
        <v>568</v>
      </c>
      <c r="F56" s="43">
        <v>0.54442000000000002</v>
      </c>
      <c r="G56" s="40" t="s">
        <v>569</v>
      </c>
    </row>
    <row r="57" spans="2:7" s="22" customFormat="1" ht="18" customHeight="1">
      <c r="B57" s="40" t="s">
        <v>478</v>
      </c>
      <c r="C57" s="40" t="s">
        <v>570</v>
      </c>
      <c r="D57" s="41" t="s">
        <v>560</v>
      </c>
      <c r="E57" s="42" t="s">
        <v>243</v>
      </c>
      <c r="F57" s="43">
        <v>9.1226400000000005</v>
      </c>
      <c r="G57" s="40" t="s">
        <v>571</v>
      </c>
    </row>
    <row r="58" spans="2:7" s="22" customFormat="1" ht="18" customHeight="1">
      <c r="B58" s="40" t="s">
        <v>478</v>
      </c>
      <c r="C58" s="40" t="s">
        <v>572</v>
      </c>
      <c r="D58" s="41" t="s">
        <v>560</v>
      </c>
      <c r="E58" s="42" t="s">
        <v>243</v>
      </c>
      <c r="F58" s="43">
        <v>1.78</v>
      </c>
      <c r="G58" s="40" t="s">
        <v>573</v>
      </c>
    </row>
    <row r="59" spans="2:7" s="22" customFormat="1" ht="18" customHeight="1">
      <c r="B59" s="40" t="s">
        <v>478</v>
      </c>
      <c r="C59" s="40" t="s">
        <v>574</v>
      </c>
      <c r="D59" s="41" t="s">
        <v>560</v>
      </c>
      <c r="E59" s="42" t="s">
        <v>565</v>
      </c>
      <c r="F59" s="43">
        <v>1.8858999999999999</v>
      </c>
      <c r="G59" s="40" t="s">
        <v>575</v>
      </c>
    </row>
    <row r="60" spans="2:7" s="22" customFormat="1" ht="18" customHeight="1">
      <c r="B60" s="40" t="s">
        <v>478</v>
      </c>
      <c r="C60" s="40" t="s">
        <v>576</v>
      </c>
      <c r="D60" s="41" t="s">
        <v>577</v>
      </c>
      <c r="E60" s="42" t="s">
        <v>491</v>
      </c>
      <c r="F60" s="43">
        <v>0.42356100000000002</v>
      </c>
      <c r="G60" s="40" t="s">
        <v>578</v>
      </c>
    </row>
    <row r="61" spans="2:7" s="22" customFormat="1" ht="18" customHeight="1">
      <c r="B61" s="40" t="s">
        <v>478</v>
      </c>
      <c r="C61" s="40" t="s">
        <v>579</v>
      </c>
      <c r="D61" s="41" t="s">
        <v>577</v>
      </c>
      <c r="E61" s="42" t="s">
        <v>243</v>
      </c>
      <c r="F61" s="43">
        <v>12.95632</v>
      </c>
      <c r="G61" s="40" t="s">
        <v>580</v>
      </c>
    </row>
    <row r="62" spans="2:7" s="22" customFormat="1" ht="18" customHeight="1">
      <c r="B62" s="40" t="s">
        <v>478</v>
      </c>
      <c r="C62" s="40" t="s">
        <v>581</v>
      </c>
      <c r="D62" s="41" t="s">
        <v>577</v>
      </c>
      <c r="E62" s="42" t="s">
        <v>243</v>
      </c>
      <c r="F62" s="43">
        <v>11.2091433333333</v>
      </c>
      <c r="G62" s="40" t="s">
        <v>582</v>
      </c>
    </row>
    <row r="63" spans="2:7" s="22" customFormat="1" ht="18" customHeight="1">
      <c r="B63" s="40" t="s">
        <v>478</v>
      </c>
      <c r="C63" s="40" t="s">
        <v>583</v>
      </c>
      <c r="D63" s="41" t="s">
        <v>577</v>
      </c>
      <c r="E63" s="136" t="s">
        <v>243</v>
      </c>
      <c r="F63" s="43">
        <v>36.088857142857101</v>
      </c>
      <c r="G63" s="40" t="s">
        <v>584</v>
      </c>
    </row>
    <row r="64" spans="2:7" s="22" customFormat="1" ht="18" customHeight="1">
      <c r="B64" s="40" t="s">
        <v>478</v>
      </c>
      <c r="C64" s="40" t="s">
        <v>585</v>
      </c>
      <c r="D64" s="41" t="s">
        <v>577</v>
      </c>
      <c r="E64" s="42" t="s">
        <v>243</v>
      </c>
      <c r="F64" s="43">
        <v>1.3217845789473699</v>
      </c>
      <c r="G64" s="40" t="s">
        <v>586</v>
      </c>
    </row>
    <row r="65" spans="2:8" s="22" customFormat="1" ht="18" customHeight="1">
      <c r="B65" s="40" t="s">
        <v>478</v>
      </c>
      <c r="C65" s="40" t="s">
        <v>587</v>
      </c>
      <c r="D65" s="41" t="s">
        <v>577</v>
      </c>
      <c r="E65" s="42" t="s">
        <v>243</v>
      </c>
      <c r="F65" s="43">
        <v>0.57689500000000005</v>
      </c>
      <c r="G65" s="40" t="s">
        <v>588</v>
      </c>
    </row>
    <row r="66" spans="2:8" s="22" customFormat="1" ht="18" customHeight="1">
      <c r="B66" s="40" t="s">
        <v>478</v>
      </c>
      <c r="C66" s="40" t="s">
        <v>589</v>
      </c>
      <c r="D66" s="41" t="s">
        <v>577</v>
      </c>
      <c r="E66" s="42" t="s">
        <v>243</v>
      </c>
      <c r="F66" s="43">
        <v>1.40952642857143</v>
      </c>
      <c r="G66" s="40" t="s">
        <v>590</v>
      </c>
    </row>
    <row r="67" spans="2:8" s="22" customFormat="1" ht="18" customHeight="1">
      <c r="B67" s="44" t="s">
        <v>478</v>
      </c>
      <c r="C67" s="44" t="s">
        <v>946</v>
      </c>
      <c r="D67" s="45" t="s">
        <v>591</v>
      </c>
      <c r="E67" s="110" t="s">
        <v>947</v>
      </c>
      <c r="F67" s="138">
        <v>12.4004285714286</v>
      </c>
      <c r="G67" s="44" t="s">
        <v>592</v>
      </c>
    </row>
    <row r="68" spans="2:8" s="22" customFormat="1" ht="18" customHeight="1">
      <c r="B68" s="44" t="s">
        <v>478</v>
      </c>
      <c r="C68" s="44" t="s">
        <v>591</v>
      </c>
      <c r="D68" s="45" t="s">
        <v>591</v>
      </c>
      <c r="E68" s="46" t="s">
        <v>243</v>
      </c>
      <c r="F68" s="47">
        <v>17.061199999999999</v>
      </c>
      <c r="G68" s="44" t="s">
        <v>593</v>
      </c>
    </row>
    <row r="69" spans="2:8" s="22" customFormat="1" ht="18" customHeight="1">
      <c r="B69" s="40" t="s">
        <v>478</v>
      </c>
      <c r="C69" s="40" t="s">
        <v>594</v>
      </c>
      <c r="D69" s="41" t="s">
        <v>591</v>
      </c>
      <c r="E69" s="42" t="s">
        <v>394</v>
      </c>
      <c r="F69" s="43">
        <v>16.0894716666667</v>
      </c>
      <c r="G69" s="40" t="s">
        <v>595</v>
      </c>
    </row>
    <row r="70" spans="2:8" s="22" customFormat="1" ht="18" customHeight="1">
      <c r="B70" s="40" t="s">
        <v>478</v>
      </c>
      <c r="C70" s="40" t="s">
        <v>596</v>
      </c>
      <c r="D70" s="41" t="s">
        <v>591</v>
      </c>
      <c r="E70" s="42" t="s">
        <v>394</v>
      </c>
      <c r="F70" s="43">
        <v>0.94709346153846197</v>
      </c>
      <c r="G70" s="40" t="s">
        <v>597</v>
      </c>
      <c r="H70" s="48"/>
    </row>
    <row r="71" spans="2:8" s="22" customFormat="1" ht="18" customHeight="1">
      <c r="B71" s="44" t="s">
        <v>478</v>
      </c>
      <c r="C71" s="44" t="s">
        <v>948</v>
      </c>
      <c r="D71" s="45" t="s">
        <v>591</v>
      </c>
      <c r="E71" s="46" t="s">
        <v>565</v>
      </c>
      <c r="F71" s="138">
        <v>1696.53</v>
      </c>
      <c r="G71" s="44" t="s">
        <v>598</v>
      </c>
    </row>
    <row r="72" spans="2:8" s="22" customFormat="1" ht="18" customHeight="1">
      <c r="B72" s="44" t="s">
        <v>478</v>
      </c>
      <c r="C72" s="44" t="s">
        <v>599</v>
      </c>
      <c r="D72" s="45" t="s">
        <v>591</v>
      </c>
      <c r="E72" s="46" t="s">
        <v>157</v>
      </c>
      <c r="F72" s="47">
        <v>2.4500000000000002</v>
      </c>
      <c r="G72" s="44" t="s">
        <v>600</v>
      </c>
    </row>
    <row r="73" spans="2:8" s="22" customFormat="1" ht="18" customHeight="1">
      <c r="B73" s="40" t="s">
        <v>478</v>
      </c>
      <c r="C73" s="40" t="s">
        <v>601</v>
      </c>
      <c r="D73" s="41" t="s">
        <v>591</v>
      </c>
      <c r="E73" s="42" t="s">
        <v>394</v>
      </c>
      <c r="F73" s="43">
        <v>1.9348000000000001E-2</v>
      </c>
      <c r="G73" s="40" t="s">
        <v>602</v>
      </c>
    </row>
    <row r="74" spans="2:8" s="22" customFormat="1" ht="18" customHeight="1">
      <c r="B74" s="40" t="s">
        <v>478</v>
      </c>
      <c r="C74" s="40" t="s">
        <v>603</v>
      </c>
      <c r="D74" s="41" t="s">
        <v>604</v>
      </c>
      <c r="E74" s="42" t="s">
        <v>605</v>
      </c>
      <c r="F74" s="43">
        <v>0.56000000000000005</v>
      </c>
      <c r="G74" s="40" t="s">
        <v>606</v>
      </c>
    </row>
    <row r="75" spans="2:8" s="22" customFormat="1" ht="18" customHeight="1">
      <c r="B75" s="40" t="s">
        <v>478</v>
      </c>
      <c r="C75" s="40" t="s">
        <v>607</v>
      </c>
      <c r="D75" s="41" t="s">
        <v>604</v>
      </c>
      <c r="E75" s="42" t="s">
        <v>491</v>
      </c>
      <c r="F75" s="43">
        <v>68.914619999999999</v>
      </c>
      <c r="G75" s="40" t="s">
        <v>608</v>
      </c>
    </row>
    <row r="76" spans="2:8" s="22" customFormat="1" ht="18" customHeight="1">
      <c r="B76" s="44" t="s">
        <v>478</v>
      </c>
      <c r="C76" s="44" t="s">
        <v>949</v>
      </c>
      <c r="D76" s="45" t="s">
        <v>604</v>
      </c>
      <c r="E76" s="110" t="s">
        <v>609</v>
      </c>
      <c r="F76" s="47">
        <v>2213.4702600000001</v>
      </c>
      <c r="G76" s="44" t="s">
        <v>610</v>
      </c>
    </row>
    <row r="77" spans="2:8" s="22" customFormat="1" ht="18" customHeight="1">
      <c r="B77" s="40" t="s">
        <v>478</v>
      </c>
      <c r="C77" s="40" t="s">
        <v>611</v>
      </c>
      <c r="D77" s="41" t="s">
        <v>604</v>
      </c>
      <c r="E77" s="42" t="s">
        <v>612</v>
      </c>
      <c r="F77" s="43">
        <v>0.16625000000000001</v>
      </c>
      <c r="G77" s="40" t="s">
        <v>613</v>
      </c>
    </row>
    <row r="78" spans="2:8" s="22" customFormat="1" ht="18" customHeight="1">
      <c r="B78" s="44" t="s">
        <v>478</v>
      </c>
      <c r="C78" s="44" t="s">
        <v>614</v>
      </c>
      <c r="D78" s="45" t="s">
        <v>604</v>
      </c>
      <c r="E78" s="110" t="s">
        <v>609</v>
      </c>
      <c r="F78" s="47">
        <v>896.28800000000001</v>
      </c>
      <c r="G78" s="44" t="s">
        <v>950</v>
      </c>
    </row>
    <row r="79" spans="2:8" s="22" customFormat="1" ht="18" customHeight="1">
      <c r="B79" s="40" t="s">
        <v>478</v>
      </c>
      <c r="C79" s="40" t="s">
        <v>615</v>
      </c>
      <c r="D79" s="41" t="s">
        <v>604</v>
      </c>
      <c r="E79" s="42" t="s">
        <v>609</v>
      </c>
      <c r="F79" s="43">
        <v>89.445230769230804</v>
      </c>
      <c r="G79" s="40" t="s">
        <v>616</v>
      </c>
    </row>
    <row r="80" spans="2:8" s="22" customFormat="1" ht="18" customHeight="1">
      <c r="B80" s="40" t="s">
        <v>617</v>
      </c>
      <c r="C80" s="40" t="s">
        <v>618</v>
      </c>
      <c r="D80" s="41" t="s">
        <v>619</v>
      </c>
      <c r="E80" s="42" t="s">
        <v>609</v>
      </c>
      <c r="F80" s="43">
        <v>128.33000000000001</v>
      </c>
      <c r="G80" s="40" t="s">
        <v>620</v>
      </c>
    </row>
    <row r="81" spans="2:8" s="22" customFormat="1" ht="18" customHeight="1">
      <c r="B81" s="40" t="s">
        <v>617</v>
      </c>
      <c r="C81" s="40" t="s">
        <v>621</v>
      </c>
      <c r="D81" s="41" t="s">
        <v>619</v>
      </c>
      <c r="E81" s="42" t="s">
        <v>622</v>
      </c>
      <c r="F81" s="43">
        <v>3.01</v>
      </c>
      <c r="G81" s="40" t="s">
        <v>623</v>
      </c>
    </row>
    <row r="82" spans="2:8" s="22" customFormat="1" ht="18" customHeight="1">
      <c r="B82" s="44" t="s">
        <v>617</v>
      </c>
      <c r="C82" s="44" t="s">
        <v>624</v>
      </c>
      <c r="D82" s="45" t="s">
        <v>619</v>
      </c>
      <c r="E82" s="110" t="s">
        <v>939</v>
      </c>
      <c r="F82" s="138">
        <v>4813</v>
      </c>
      <c r="G82" s="44" t="s">
        <v>625</v>
      </c>
    </row>
    <row r="83" spans="2:8" s="22" customFormat="1" ht="18" customHeight="1">
      <c r="B83" s="40" t="s">
        <v>617</v>
      </c>
      <c r="C83" s="40" t="s">
        <v>626</v>
      </c>
      <c r="D83" s="41" t="s">
        <v>619</v>
      </c>
      <c r="E83" s="42" t="s">
        <v>243</v>
      </c>
      <c r="F83" s="43">
        <v>2.9872989622641501</v>
      </c>
      <c r="G83" s="40" t="s">
        <v>627</v>
      </c>
    </row>
    <row r="84" spans="2:8" s="22" customFormat="1" ht="18" customHeight="1">
      <c r="B84" s="40" t="s">
        <v>617</v>
      </c>
      <c r="C84" s="40" t="s">
        <v>628</v>
      </c>
      <c r="D84" s="41" t="s">
        <v>619</v>
      </c>
      <c r="E84" s="42" t="s">
        <v>394</v>
      </c>
      <c r="F84" s="43">
        <v>6.8599999999999998E-3</v>
      </c>
      <c r="G84" s="40" t="s">
        <v>629</v>
      </c>
    </row>
    <row r="85" spans="2:8" s="22" customFormat="1" ht="18" customHeight="1">
      <c r="B85" s="44" t="s">
        <v>617</v>
      </c>
      <c r="C85" s="44" t="s">
        <v>630</v>
      </c>
      <c r="D85" s="45" t="s">
        <v>619</v>
      </c>
      <c r="E85" s="110" t="s">
        <v>933</v>
      </c>
      <c r="F85" s="47">
        <v>272</v>
      </c>
      <c r="G85" s="44" t="s">
        <v>951</v>
      </c>
      <c r="H85" s="48"/>
    </row>
    <row r="86" spans="2:8" s="22" customFormat="1" ht="18" customHeight="1">
      <c r="B86" s="44" t="s">
        <v>617</v>
      </c>
      <c r="C86" s="44" t="s">
        <v>631</v>
      </c>
      <c r="D86" s="45" t="s">
        <v>619</v>
      </c>
      <c r="E86" s="110" t="s">
        <v>933</v>
      </c>
      <c r="F86" s="138">
        <v>232.45</v>
      </c>
      <c r="G86" s="139" t="s">
        <v>952</v>
      </c>
      <c r="H86" s="48"/>
    </row>
    <row r="87" spans="2:8" s="22" customFormat="1" ht="18" customHeight="1">
      <c r="B87" s="44" t="s">
        <v>617</v>
      </c>
      <c r="C87" s="44" t="s">
        <v>632</v>
      </c>
      <c r="D87" s="45" t="s">
        <v>619</v>
      </c>
      <c r="E87" s="110" t="s">
        <v>933</v>
      </c>
      <c r="F87" s="138">
        <v>6565.2150000000001</v>
      </c>
      <c r="G87" s="139" t="s">
        <v>940</v>
      </c>
    </row>
    <row r="88" spans="2:8" s="22" customFormat="1" ht="18" customHeight="1">
      <c r="B88" s="40" t="s">
        <v>617</v>
      </c>
      <c r="C88" s="40" t="s">
        <v>633</v>
      </c>
      <c r="D88" s="41" t="s">
        <v>619</v>
      </c>
      <c r="E88" s="42" t="s">
        <v>634</v>
      </c>
      <c r="F88" s="43">
        <v>109474.221052632</v>
      </c>
      <c r="G88" s="40" t="s">
        <v>635</v>
      </c>
    </row>
    <row r="89" spans="2:8" s="22" customFormat="1" ht="18" customHeight="1">
      <c r="B89" s="40" t="s">
        <v>617</v>
      </c>
      <c r="C89" s="40" t="s">
        <v>636</v>
      </c>
      <c r="D89" s="41" t="s">
        <v>619</v>
      </c>
      <c r="E89" s="42" t="s">
        <v>170</v>
      </c>
      <c r="F89" s="43">
        <v>1418.8636363636399</v>
      </c>
      <c r="G89" s="40" t="s">
        <v>637</v>
      </c>
    </row>
    <row r="90" spans="2:8" s="22" customFormat="1" ht="18" customHeight="1">
      <c r="B90" s="49" t="s">
        <v>638</v>
      </c>
      <c r="C90" s="49" t="s">
        <v>392</v>
      </c>
      <c r="D90" s="50" t="s">
        <v>639</v>
      </c>
      <c r="E90" s="51" t="s">
        <v>394</v>
      </c>
      <c r="F90" s="52">
        <v>0.1012</v>
      </c>
      <c r="G90" s="49"/>
    </row>
    <row r="91" spans="2:8" s="22" customFormat="1" ht="18" customHeight="1">
      <c r="B91" s="49" t="s">
        <v>638</v>
      </c>
      <c r="C91" s="49" t="s">
        <v>392</v>
      </c>
      <c r="D91" s="50" t="s">
        <v>640</v>
      </c>
      <c r="E91" s="51" t="s">
        <v>394</v>
      </c>
      <c r="F91" s="52">
        <v>2.3449999999999999E-2</v>
      </c>
      <c r="G91" s="49"/>
    </row>
    <row r="92" spans="2:8" s="22" customFormat="1" ht="18" customHeight="1">
      <c r="B92" s="49" t="s">
        <v>638</v>
      </c>
      <c r="C92" s="49" t="s">
        <v>641</v>
      </c>
      <c r="D92" s="50" t="s">
        <v>642</v>
      </c>
      <c r="E92" s="51" t="s">
        <v>157</v>
      </c>
      <c r="F92" s="52">
        <v>0.377</v>
      </c>
      <c r="G92" s="49"/>
    </row>
    <row r="93" spans="2:8" s="22" customFormat="1" ht="18" customHeight="1">
      <c r="B93" s="49" t="s">
        <v>638</v>
      </c>
      <c r="C93" s="49" t="s">
        <v>641</v>
      </c>
      <c r="D93" s="50" t="s">
        <v>643</v>
      </c>
      <c r="E93" s="51" t="s">
        <v>451</v>
      </c>
      <c r="F93" s="52">
        <v>1.9E-2</v>
      </c>
      <c r="G93" s="49"/>
    </row>
    <row r="94" spans="2:8" s="22" customFormat="1" ht="18" customHeight="1">
      <c r="B94" s="49" t="s">
        <v>638</v>
      </c>
      <c r="C94" s="49" t="s">
        <v>185</v>
      </c>
      <c r="D94" s="50" t="s">
        <v>644</v>
      </c>
      <c r="E94" s="51" t="s">
        <v>645</v>
      </c>
      <c r="F94" s="52">
        <v>16.34</v>
      </c>
      <c r="G94" s="49"/>
    </row>
    <row r="95" spans="2:8" s="22" customFormat="1" ht="18" customHeight="1">
      <c r="B95" s="49" t="s">
        <v>638</v>
      </c>
      <c r="C95" s="49" t="s">
        <v>185</v>
      </c>
      <c r="D95" s="50" t="s">
        <v>646</v>
      </c>
      <c r="E95" s="51" t="s">
        <v>647</v>
      </c>
      <c r="F95" s="52">
        <v>0.63600000000000001</v>
      </c>
      <c r="G95" s="49"/>
    </row>
    <row r="96" spans="2:8" s="22" customFormat="1" ht="18" customHeight="1">
      <c r="B96" s="49" t="s">
        <v>638</v>
      </c>
      <c r="C96" s="49" t="s">
        <v>185</v>
      </c>
      <c r="D96" s="50" t="s">
        <v>642</v>
      </c>
      <c r="E96" s="51" t="s">
        <v>243</v>
      </c>
      <c r="F96" s="52">
        <v>0.88700000000000001</v>
      </c>
      <c r="G96" s="49"/>
    </row>
    <row r="97" spans="2:7" s="22" customFormat="1" ht="18" customHeight="1">
      <c r="B97" s="49" t="s">
        <v>638</v>
      </c>
      <c r="C97" s="49" t="s">
        <v>648</v>
      </c>
      <c r="D97" s="50" t="s">
        <v>649</v>
      </c>
      <c r="E97" s="51" t="s">
        <v>645</v>
      </c>
      <c r="F97" s="52">
        <v>8.8870000000000005</v>
      </c>
      <c r="G97" s="49"/>
    </row>
    <row r="98" spans="2:7" s="22" customFormat="1" ht="18" customHeight="1">
      <c r="B98" s="49" t="s">
        <v>638</v>
      </c>
      <c r="C98" s="49" t="s">
        <v>650</v>
      </c>
      <c r="D98" s="50" t="s">
        <v>649</v>
      </c>
      <c r="E98" s="51" t="s">
        <v>645</v>
      </c>
      <c r="F98" s="52">
        <v>35.9</v>
      </c>
      <c r="G98" s="49"/>
    </row>
    <row r="99" spans="2:7" s="22" customFormat="1" ht="18" customHeight="1">
      <c r="B99" s="49" t="s">
        <v>638</v>
      </c>
      <c r="C99" s="49" t="s">
        <v>651</v>
      </c>
      <c r="D99" s="50" t="s">
        <v>649</v>
      </c>
      <c r="E99" s="51" t="s">
        <v>645</v>
      </c>
      <c r="F99" s="52">
        <v>19.7</v>
      </c>
      <c r="G99" s="49"/>
    </row>
    <row r="100" spans="2:7" s="22" customFormat="1" ht="18" customHeight="1">
      <c r="B100" s="49" t="s">
        <v>638</v>
      </c>
      <c r="C100" s="49" t="s">
        <v>171</v>
      </c>
      <c r="D100" s="50" t="s">
        <v>642</v>
      </c>
      <c r="E100" s="51" t="s">
        <v>157</v>
      </c>
      <c r="F100" s="52">
        <v>648.62</v>
      </c>
      <c r="G100" s="49"/>
    </row>
    <row r="101" spans="2:7" s="22" customFormat="1" ht="18" customHeight="1">
      <c r="B101" s="49" t="s">
        <v>638</v>
      </c>
      <c r="C101" s="49" t="s">
        <v>171</v>
      </c>
      <c r="D101" s="50" t="s">
        <v>646</v>
      </c>
      <c r="E101" s="51" t="s">
        <v>652</v>
      </c>
      <c r="F101" s="52">
        <v>0.47</v>
      </c>
      <c r="G101" s="49"/>
    </row>
    <row r="102" spans="2:7" s="22" customFormat="1" ht="18" customHeight="1">
      <c r="B102" s="49" t="s">
        <v>638</v>
      </c>
      <c r="C102" s="49" t="s">
        <v>171</v>
      </c>
      <c r="D102" s="50" t="s">
        <v>644</v>
      </c>
      <c r="E102" s="51" t="s">
        <v>645</v>
      </c>
      <c r="F102" s="52">
        <v>15.06</v>
      </c>
      <c r="G102" s="49"/>
    </row>
    <row r="103" spans="2:7" s="22" customFormat="1" ht="18" customHeight="1">
      <c r="B103" s="49" t="s">
        <v>638</v>
      </c>
      <c r="C103" s="49" t="s">
        <v>175</v>
      </c>
      <c r="D103" s="50" t="s">
        <v>642</v>
      </c>
      <c r="E103" s="51" t="s">
        <v>157</v>
      </c>
      <c r="F103" s="52">
        <v>705.75</v>
      </c>
      <c r="G103" s="49"/>
    </row>
    <row r="104" spans="2:7" s="22" customFormat="1" ht="18" customHeight="1">
      <c r="B104" s="49" t="s">
        <v>638</v>
      </c>
      <c r="C104" s="49" t="s">
        <v>175</v>
      </c>
      <c r="D104" s="50" t="s">
        <v>646</v>
      </c>
      <c r="E104" s="51" t="s">
        <v>652</v>
      </c>
      <c r="F104" s="52">
        <v>0.59</v>
      </c>
      <c r="G104" s="49"/>
    </row>
    <row r="105" spans="2:7" s="22" customFormat="1" ht="18" customHeight="1">
      <c r="B105" s="49" t="s">
        <v>638</v>
      </c>
      <c r="C105" s="49" t="s">
        <v>175</v>
      </c>
      <c r="D105" s="50" t="s">
        <v>644</v>
      </c>
      <c r="E105" s="51" t="s">
        <v>645</v>
      </c>
      <c r="F105" s="52">
        <v>16.55</v>
      </c>
      <c r="G105" s="49"/>
    </row>
    <row r="106" spans="2:7" s="22" customFormat="1" ht="18" customHeight="1">
      <c r="B106" s="49" t="s">
        <v>638</v>
      </c>
      <c r="C106" s="49" t="s">
        <v>653</v>
      </c>
      <c r="D106" s="50" t="s">
        <v>131</v>
      </c>
      <c r="E106" s="51" t="s">
        <v>157</v>
      </c>
      <c r="F106" s="52">
        <v>340.488</v>
      </c>
      <c r="G106" s="49"/>
    </row>
    <row r="107" spans="2:7" s="22" customFormat="1" ht="18" customHeight="1">
      <c r="B107" s="49" t="s">
        <v>638</v>
      </c>
      <c r="C107" s="49" t="s">
        <v>654</v>
      </c>
      <c r="D107" s="50" t="s">
        <v>131</v>
      </c>
      <c r="E107" s="51" t="s">
        <v>157</v>
      </c>
      <c r="F107" s="52">
        <v>113.76</v>
      </c>
      <c r="G107" s="49"/>
    </row>
    <row r="108" spans="2:7" s="22" customFormat="1" ht="18" customHeight="1">
      <c r="B108" s="49" t="s">
        <v>655</v>
      </c>
      <c r="C108" s="49" t="s">
        <v>656</v>
      </c>
      <c r="D108" s="50" t="s">
        <v>657</v>
      </c>
      <c r="E108" s="51" t="s">
        <v>658</v>
      </c>
      <c r="F108" s="52">
        <v>0.2382</v>
      </c>
      <c r="G108" s="49"/>
    </row>
    <row r="109" spans="2:7" s="22" customFormat="1" ht="18" customHeight="1">
      <c r="B109" s="49" t="s">
        <v>655</v>
      </c>
      <c r="C109" s="49" t="s">
        <v>656</v>
      </c>
      <c r="D109" s="50" t="s">
        <v>657</v>
      </c>
      <c r="E109" s="51" t="s">
        <v>658</v>
      </c>
      <c r="F109" s="52">
        <v>0.2868</v>
      </c>
      <c r="G109" s="49"/>
    </row>
    <row r="110" spans="2:7" s="22" customFormat="1" ht="18" customHeight="1">
      <c r="B110" s="49" t="s">
        <v>655</v>
      </c>
      <c r="C110" s="49" t="s">
        <v>659</v>
      </c>
      <c r="D110" s="50" t="s">
        <v>657</v>
      </c>
      <c r="E110" s="51" t="s">
        <v>658</v>
      </c>
      <c r="F110" s="52">
        <v>0.2351</v>
      </c>
      <c r="G110" s="49"/>
    </row>
    <row r="111" spans="2:7" s="22" customFormat="1" ht="18" customHeight="1">
      <c r="B111" s="49" t="s">
        <v>655</v>
      </c>
      <c r="C111" s="49" t="s">
        <v>659</v>
      </c>
      <c r="D111" s="50" t="s">
        <v>657</v>
      </c>
      <c r="E111" s="51" t="s">
        <v>658</v>
      </c>
      <c r="F111" s="52">
        <v>0.28710000000000002</v>
      </c>
      <c r="G111" s="49"/>
    </row>
    <row r="112" spans="2:7" s="22" customFormat="1" ht="18" customHeight="1">
      <c r="B112" s="49" t="s">
        <v>655</v>
      </c>
      <c r="C112" s="49" t="s">
        <v>656</v>
      </c>
      <c r="D112" s="50" t="s">
        <v>660</v>
      </c>
      <c r="E112" s="51" t="s">
        <v>658</v>
      </c>
      <c r="F112" s="52">
        <v>0.29970000000000002</v>
      </c>
      <c r="G112" s="49"/>
    </row>
    <row r="113" spans="2:7" s="22" customFormat="1" ht="18" customHeight="1">
      <c r="B113" s="49" t="s">
        <v>655</v>
      </c>
      <c r="C113" s="49" t="s">
        <v>656</v>
      </c>
      <c r="D113" s="50" t="s">
        <v>660</v>
      </c>
      <c r="E113" s="51" t="s">
        <v>658</v>
      </c>
      <c r="F113" s="52">
        <v>0.36099999999999999</v>
      </c>
      <c r="G113" s="49"/>
    </row>
    <row r="114" spans="2:7" s="22" customFormat="1" ht="18" customHeight="1">
      <c r="B114" s="49" t="s">
        <v>655</v>
      </c>
      <c r="C114" s="49" t="s">
        <v>659</v>
      </c>
      <c r="D114" s="50" t="s">
        <v>660</v>
      </c>
      <c r="E114" s="51" t="s">
        <v>658</v>
      </c>
      <c r="F114" s="52">
        <v>0.2923</v>
      </c>
      <c r="G114" s="49"/>
    </row>
    <row r="115" spans="2:7" s="22" customFormat="1" ht="18" customHeight="1">
      <c r="B115" s="49" t="s">
        <v>655</v>
      </c>
      <c r="C115" s="49" t="s">
        <v>659</v>
      </c>
      <c r="D115" s="50" t="s">
        <v>660</v>
      </c>
      <c r="E115" s="51" t="s">
        <v>658</v>
      </c>
      <c r="F115" s="52">
        <v>0.35699999999999998</v>
      </c>
      <c r="G115" s="49"/>
    </row>
    <row r="116" spans="2:7" s="22" customFormat="1" ht="18" customHeight="1">
      <c r="B116" s="49" t="s">
        <v>655</v>
      </c>
      <c r="C116" s="49" t="s">
        <v>656</v>
      </c>
      <c r="D116" s="50" t="s">
        <v>661</v>
      </c>
      <c r="E116" s="51" t="s">
        <v>658</v>
      </c>
      <c r="F116" s="52">
        <v>0.311</v>
      </c>
      <c r="G116" s="49"/>
    </row>
    <row r="117" spans="2:7" s="22" customFormat="1" ht="18" customHeight="1">
      <c r="B117" s="49" t="s">
        <v>655</v>
      </c>
      <c r="C117" s="49" t="s">
        <v>656</v>
      </c>
      <c r="D117" s="50" t="s">
        <v>661</v>
      </c>
      <c r="E117" s="51" t="s">
        <v>658</v>
      </c>
      <c r="F117" s="52">
        <v>0.37459999999999999</v>
      </c>
      <c r="G117" s="49"/>
    </row>
    <row r="118" spans="2:7" s="22" customFormat="1" ht="18" customHeight="1">
      <c r="B118" s="49" t="s">
        <v>655</v>
      </c>
      <c r="C118" s="49" t="s">
        <v>659</v>
      </c>
      <c r="D118" s="50" t="s">
        <v>661</v>
      </c>
      <c r="E118" s="51" t="s">
        <v>658</v>
      </c>
      <c r="F118" s="52">
        <v>0.29759999999999998</v>
      </c>
      <c r="G118" s="49"/>
    </row>
    <row r="119" spans="2:7" s="22" customFormat="1" ht="18" customHeight="1">
      <c r="B119" s="49" t="s">
        <v>655</v>
      </c>
      <c r="C119" s="49" t="s">
        <v>659</v>
      </c>
      <c r="D119" s="50" t="s">
        <v>661</v>
      </c>
      <c r="E119" s="51" t="s">
        <v>658</v>
      </c>
      <c r="F119" s="52">
        <v>0.36349999999999999</v>
      </c>
      <c r="G119" s="49"/>
    </row>
    <row r="120" spans="2:7" s="22" customFormat="1" ht="18" customHeight="1">
      <c r="B120" s="49" t="s">
        <v>655</v>
      </c>
      <c r="C120" s="49" t="s">
        <v>656</v>
      </c>
      <c r="D120" s="50" t="s">
        <v>662</v>
      </c>
      <c r="E120" s="51" t="s">
        <v>658</v>
      </c>
      <c r="F120" s="52">
        <v>0.26900000000000002</v>
      </c>
      <c r="G120" s="49"/>
    </row>
    <row r="121" spans="2:7" s="22" customFormat="1" ht="18" customHeight="1">
      <c r="B121" s="49" t="s">
        <v>655</v>
      </c>
      <c r="C121" s="49" t="s">
        <v>656</v>
      </c>
      <c r="D121" s="50" t="s">
        <v>662</v>
      </c>
      <c r="E121" s="51" t="s">
        <v>658</v>
      </c>
      <c r="F121" s="52">
        <v>0.32390000000000002</v>
      </c>
      <c r="G121" s="49"/>
    </row>
    <row r="122" spans="2:7" s="22" customFormat="1" ht="18" customHeight="1">
      <c r="B122" s="49" t="s">
        <v>655</v>
      </c>
      <c r="C122" s="49" t="s">
        <v>659</v>
      </c>
      <c r="D122" s="50" t="s">
        <v>662</v>
      </c>
      <c r="E122" s="51" t="s">
        <v>658</v>
      </c>
      <c r="F122" s="52">
        <v>0.26369999999999999</v>
      </c>
      <c r="G122" s="49"/>
    </row>
    <row r="123" spans="2:7" s="22" customFormat="1" ht="18" customHeight="1">
      <c r="B123" s="49" t="s">
        <v>655</v>
      </c>
      <c r="C123" s="49" t="s">
        <v>659</v>
      </c>
      <c r="D123" s="50" t="s">
        <v>662</v>
      </c>
      <c r="E123" s="51" t="s">
        <v>658</v>
      </c>
      <c r="F123" s="52">
        <v>0.3221</v>
      </c>
      <c r="G123" s="49"/>
    </row>
    <row r="124" spans="2:7" s="22" customFormat="1" ht="18" customHeight="1">
      <c r="B124" s="49" t="s">
        <v>655</v>
      </c>
      <c r="C124" s="49" t="s">
        <v>663</v>
      </c>
      <c r="D124" s="50" t="s">
        <v>662</v>
      </c>
      <c r="E124" s="51" t="s">
        <v>658</v>
      </c>
      <c r="F124" s="52">
        <v>0.14929999999999999</v>
      </c>
      <c r="G124" s="49"/>
    </row>
    <row r="125" spans="2:7" s="22" customFormat="1" ht="18" customHeight="1">
      <c r="B125" s="49" t="s">
        <v>655</v>
      </c>
      <c r="C125" s="49" t="s">
        <v>656</v>
      </c>
      <c r="D125" s="50" t="s">
        <v>664</v>
      </c>
      <c r="E125" s="51" t="s">
        <v>658</v>
      </c>
      <c r="F125" s="52">
        <v>0.20599999999999999</v>
      </c>
      <c r="G125" s="49"/>
    </row>
    <row r="126" spans="2:7" s="22" customFormat="1" ht="18" customHeight="1">
      <c r="B126" s="49" t="s">
        <v>655</v>
      </c>
      <c r="C126" s="49" t="s">
        <v>656</v>
      </c>
      <c r="D126" s="50" t="s">
        <v>664</v>
      </c>
      <c r="E126" s="51" t="s">
        <v>658</v>
      </c>
      <c r="F126" s="52">
        <v>0.24809999999999999</v>
      </c>
      <c r="G126" s="49"/>
    </row>
    <row r="127" spans="2:7" s="22" customFormat="1" ht="18" customHeight="1">
      <c r="B127" s="49" t="s">
        <v>655</v>
      </c>
      <c r="C127" s="49" t="s">
        <v>659</v>
      </c>
      <c r="D127" s="50" t="s">
        <v>664</v>
      </c>
      <c r="E127" s="51" t="s">
        <v>658</v>
      </c>
      <c r="F127" s="52">
        <v>0.19570000000000001</v>
      </c>
      <c r="G127" s="49"/>
    </row>
    <row r="128" spans="2:7" s="22" customFormat="1" ht="18" customHeight="1">
      <c r="B128" s="49" t="s">
        <v>655</v>
      </c>
      <c r="C128" s="49" t="s">
        <v>659</v>
      </c>
      <c r="D128" s="50" t="s">
        <v>664</v>
      </c>
      <c r="E128" s="51" t="s">
        <v>658</v>
      </c>
      <c r="F128" s="52">
        <v>0.23899999999999999</v>
      </c>
      <c r="G128" s="49"/>
    </row>
    <row r="129" spans="2:7" s="22" customFormat="1" ht="18" customHeight="1">
      <c r="B129" s="49" t="s">
        <v>655</v>
      </c>
      <c r="C129" s="49" t="s">
        <v>656</v>
      </c>
      <c r="D129" s="50" t="s">
        <v>665</v>
      </c>
      <c r="E129" s="51" t="s">
        <v>658</v>
      </c>
      <c r="F129" s="52">
        <v>0.21929999999999999</v>
      </c>
      <c r="G129" s="49"/>
    </row>
    <row r="130" spans="2:7" s="22" customFormat="1" ht="18" customHeight="1">
      <c r="B130" s="49" t="s">
        <v>655</v>
      </c>
      <c r="C130" s="49" t="s">
        <v>656</v>
      </c>
      <c r="D130" s="50" t="s">
        <v>665</v>
      </c>
      <c r="E130" s="51" t="s">
        <v>658</v>
      </c>
      <c r="F130" s="52">
        <v>0.2641</v>
      </c>
      <c r="G130" s="49"/>
    </row>
    <row r="131" spans="2:7" s="22" customFormat="1" ht="18" customHeight="1">
      <c r="B131" s="49" t="s">
        <v>655</v>
      </c>
      <c r="C131" s="49" t="s">
        <v>659</v>
      </c>
      <c r="D131" s="50" t="s">
        <v>665</v>
      </c>
      <c r="E131" s="51" t="s">
        <v>658</v>
      </c>
      <c r="F131" s="52">
        <v>0.19500000000000001</v>
      </c>
      <c r="G131" s="49"/>
    </row>
    <row r="132" spans="2:7" s="22" customFormat="1" ht="18" customHeight="1">
      <c r="B132" s="49" t="s">
        <v>655</v>
      </c>
      <c r="C132" s="49" t="s">
        <v>659</v>
      </c>
      <c r="D132" s="50" t="s">
        <v>665</v>
      </c>
      <c r="E132" s="51" t="s">
        <v>658</v>
      </c>
      <c r="F132" s="52">
        <v>0.23830000000000001</v>
      </c>
      <c r="G132" s="49"/>
    </row>
    <row r="133" spans="2:7" s="22" customFormat="1" ht="18" customHeight="1">
      <c r="B133" s="49" t="s">
        <v>655</v>
      </c>
      <c r="C133" s="49" t="s">
        <v>666</v>
      </c>
      <c r="D133" s="50" t="s">
        <v>665</v>
      </c>
      <c r="E133" s="51" t="s">
        <v>658</v>
      </c>
      <c r="F133" s="52">
        <v>0.29210000000000003</v>
      </c>
      <c r="G133" s="49"/>
    </row>
    <row r="134" spans="2:7" s="22" customFormat="1" ht="18" customHeight="1">
      <c r="B134" s="49" t="s">
        <v>655</v>
      </c>
      <c r="C134" s="49" t="s">
        <v>666</v>
      </c>
      <c r="D134" s="50" t="s">
        <v>665</v>
      </c>
      <c r="E134" s="51" t="s">
        <v>658</v>
      </c>
      <c r="F134" s="52">
        <v>0.37240000000000001</v>
      </c>
      <c r="G134" s="49"/>
    </row>
    <row r="135" spans="2:7" s="22" customFormat="1" ht="18" customHeight="1">
      <c r="B135" s="49" t="s">
        <v>655</v>
      </c>
      <c r="C135" s="49" t="s">
        <v>656</v>
      </c>
      <c r="D135" s="50" t="s">
        <v>667</v>
      </c>
      <c r="E135" s="51" t="s">
        <v>658</v>
      </c>
      <c r="F135" s="52">
        <v>0.1948</v>
      </c>
      <c r="G135" s="49"/>
    </row>
    <row r="136" spans="2:7" s="22" customFormat="1" ht="18" customHeight="1">
      <c r="B136" s="49" t="s">
        <v>655</v>
      </c>
      <c r="C136" s="49" t="s">
        <v>656</v>
      </c>
      <c r="D136" s="50" t="s">
        <v>667</v>
      </c>
      <c r="E136" s="51" t="s">
        <v>658</v>
      </c>
      <c r="F136" s="52">
        <v>0.2346</v>
      </c>
      <c r="G136" s="49"/>
    </row>
    <row r="137" spans="2:7" s="22" customFormat="1" ht="18" customHeight="1">
      <c r="B137" s="49" t="s">
        <v>655</v>
      </c>
      <c r="C137" s="49" t="s">
        <v>659</v>
      </c>
      <c r="D137" s="50" t="s">
        <v>667</v>
      </c>
      <c r="E137" s="51" t="s">
        <v>658</v>
      </c>
      <c r="F137" s="52">
        <v>0.17349999999999999</v>
      </c>
      <c r="G137" s="49"/>
    </row>
    <row r="138" spans="2:7" s="22" customFormat="1" ht="18" customHeight="1">
      <c r="B138" s="49" t="s">
        <v>655</v>
      </c>
      <c r="C138" s="49" t="s">
        <v>659</v>
      </c>
      <c r="D138" s="50" t="s">
        <v>667</v>
      </c>
      <c r="E138" s="51" t="s">
        <v>658</v>
      </c>
      <c r="F138" s="52">
        <v>0.21190000000000001</v>
      </c>
      <c r="G138" s="49"/>
    </row>
    <row r="139" spans="2:7" s="22" customFormat="1" ht="18" customHeight="1">
      <c r="B139" s="49" t="s">
        <v>655</v>
      </c>
      <c r="C139" s="49" t="s">
        <v>656</v>
      </c>
      <c r="D139" s="50" t="s">
        <v>668</v>
      </c>
      <c r="E139" s="51" t="s">
        <v>658</v>
      </c>
      <c r="F139" s="52">
        <v>0.24540000000000001</v>
      </c>
      <c r="G139" s="49"/>
    </row>
    <row r="140" spans="2:7" s="22" customFormat="1" ht="18" customHeight="1">
      <c r="B140" s="49" t="s">
        <v>655</v>
      </c>
      <c r="C140" s="49" t="s">
        <v>656</v>
      </c>
      <c r="D140" s="50" t="s">
        <v>668</v>
      </c>
      <c r="E140" s="51" t="s">
        <v>658</v>
      </c>
      <c r="F140" s="52">
        <v>0.29559999999999997</v>
      </c>
      <c r="G140" s="49"/>
    </row>
    <row r="141" spans="2:7" s="22" customFormat="1" ht="18" customHeight="1">
      <c r="B141" s="49" t="s">
        <v>655</v>
      </c>
      <c r="C141" s="49" t="s">
        <v>659</v>
      </c>
      <c r="D141" s="50" t="s">
        <v>668</v>
      </c>
      <c r="E141" s="51" t="s">
        <v>658</v>
      </c>
      <c r="F141" s="52">
        <v>0.22950000000000001</v>
      </c>
      <c r="G141" s="49"/>
    </row>
    <row r="142" spans="2:7" s="22" customFormat="1" ht="18" customHeight="1">
      <c r="B142" s="49" t="s">
        <v>655</v>
      </c>
      <c r="C142" s="49" t="s">
        <v>659</v>
      </c>
      <c r="D142" s="50" t="s">
        <v>668</v>
      </c>
      <c r="E142" s="51" t="s">
        <v>658</v>
      </c>
      <c r="F142" s="52">
        <v>0.28029999999999999</v>
      </c>
      <c r="G142" s="49"/>
    </row>
    <row r="143" spans="2:7" s="22" customFormat="1" ht="18" customHeight="1">
      <c r="B143" s="49" t="s">
        <v>655</v>
      </c>
      <c r="C143" s="49" t="s">
        <v>666</v>
      </c>
      <c r="D143" s="50" t="s">
        <v>668</v>
      </c>
      <c r="E143" s="51" t="s">
        <v>658</v>
      </c>
      <c r="F143" s="52">
        <v>0.29210000000000003</v>
      </c>
      <c r="G143" s="49"/>
    </row>
    <row r="144" spans="2:7" s="22" customFormat="1" ht="18" customHeight="1">
      <c r="B144" s="49" t="s">
        <v>655</v>
      </c>
      <c r="C144" s="49" t="s">
        <v>666</v>
      </c>
      <c r="D144" s="50" t="s">
        <v>668</v>
      </c>
      <c r="E144" s="51" t="s">
        <v>658</v>
      </c>
      <c r="F144" s="52">
        <v>0.37240000000000001</v>
      </c>
      <c r="G144" s="49"/>
    </row>
    <row r="145" spans="2:7" s="22" customFormat="1" ht="18" customHeight="1">
      <c r="B145" s="49" t="s">
        <v>655</v>
      </c>
      <c r="C145" s="49" t="s">
        <v>663</v>
      </c>
      <c r="D145" s="50" t="s">
        <v>668</v>
      </c>
      <c r="E145" s="51" t="s">
        <v>658</v>
      </c>
      <c r="F145" s="52">
        <v>9.7199999999999995E-2</v>
      </c>
      <c r="G145" s="49"/>
    </row>
    <row r="146" spans="2:7" s="22" customFormat="1" ht="18" customHeight="1">
      <c r="B146" s="49" t="s">
        <v>655</v>
      </c>
      <c r="C146" s="49" t="s">
        <v>666</v>
      </c>
      <c r="D146" s="50" t="s">
        <v>669</v>
      </c>
      <c r="E146" s="51" t="s">
        <v>658</v>
      </c>
      <c r="F146" s="52">
        <v>0.24590000000000001</v>
      </c>
      <c r="G146" s="49"/>
    </row>
    <row r="147" spans="2:7" s="22" customFormat="1" ht="18" customHeight="1">
      <c r="B147" s="49" t="s">
        <v>655</v>
      </c>
      <c r="C147" s="49" t="s">
        <v>666</v>
      </c>
      <c r="D147" s="50" t="s">
        <v>669</v>
      </c>
      <c r="E147" s="51" t="s">
        <v>658</v>
      </c>
      <c r="F147" s="52">
        <v>0.3135</v>
      </c>
      <c r="G147" s="49"/>
    </row>
    <row r="148" spans="2:7" s="22" customFormat="1" ht="18" customHeight="1">
      <c r="B148" s="49" t="s">
        <v>655</v>
      </c>
      <c r="C148" s="49" t="s">
        <v>656</v>
      </c>
      <c r="D148" s="50" t="s">
        <v>670</v>
      </c>
      <c r="E148" s="51" t="s">
        <v>658</v>
      </c>
      <c r="F148" s="52">
        <v>0.16420000000000001</v>
      </c>
      <c r="G148" s="49"/>
    </row>
    <row r="149" spans="2:7" s="22" customFormat="1" ht="18" customHeight="1">
      <c r="B149" s="49" t="s">
        <v>655</v>
      </c>
      <c r="C149" s="49" t="s">
        <v>656</v>
      </c>
      <c r="D149" s="50" t="s">
        <v>670</v>
      </c>
      <c r="E149" s="51" t="s">
        <v>658</v>
      </c>
      <c r="F149" s="52">
        <v>0.1978</v>
      </c>
      <c r="G149" s="49"/>
    </row>
    <row r="150" spans="2:7" s="22" customFormat="1" ht="18" customHeight="1">
      <c r="B150" s="49" t="s">
        <v>655</v>
      </c>
      <c r="C150" s="49" t="s">
        <v>659</v>
      </c>
      <c r="D150" s="50" t="s">
        <v>670</v>
      </c>
      <c r="E150" s="51" t="s">
        <v>658</v>
      </c>
      <c r="F150" s="52">
        <v>0.1462</v>
      </c>
      <c r="G150" s="49"/>
    </row>
    <row r="151" spans="2:7" s="22" customFormat="1" ht="18" customHeight="1">
      <c r="B151" s="49" t="s">
        <v>655</v>
      </c>
      <c r="C151" s="49" t="s">
        <v>659</v>
      </c>
      <c r="D151" s="50" t="s">
        <v>670</v>
      </c>
      <c r="E151" s="51" t="s">
        <v>658</v>
      </c>
      <c r="F151" s="52">
        <v>0.17860000000000001</v>
      </c>
      <c r="G151" s="49"/>
    </row>
    <row r="152" spans="2:7" s="22" customFormat="1" ht="18" customHeight="1">
      <c r="B152" s="49" t="s">
        <v>655</v>
      </c>
      <c r="C152" s="49" t="s">
        <v>656</v>
      </c>
      <c r="D152" s="50" t="s">
        <v>671</v>
      </c>
      <c r="E152" s="51" t="s">
        <v>658</v>
      </c>
      <c r="F152" s="52">
        <v>0.1231</v>
      </c>
      <c r="G152" s="49"/>
    </row>
    <row r="153" spans="2:7" s="22" customFormat="1" ht="18" customHeight="1">
      <c r="B153" s="49" t="s">
        <v>655</v>
      </c>
      <c r="C153" s="49" t="s">
        <v>656</v>
      </c>
      <c r="D153" s="50" t="s">
        <v>671</v>
      </c>
      <c r="E153" s="51" t="s">
        <v>658</v>
      </c>
      <c r="F153" s="52">
        <v>0.14829999999999999</v>
      </c>
      <c r="G153" s="49"/>
    </row>
    <row r="154" spans="2:7" s="22" customFormat="1" ht="18" customHeight="1">
      <c r="B154" s="49" t="s">
        <v>655</v>
      </c>
      <c r="C154" s="49" t="s">
        <v>659</v>
      </c>
      <c r="D154" s="50" t="s">
        <v>671</v>
      </c>
      <c r="E154" s="51" t="s">
        <v>658</v>
      </c>
      <c r="F154" s="52">
        <v>0.10979999999999999</v>
      </c>
      <c r="G154" s="49"/>
    </row>
    <row r="155" spans="2:7" s="22" customFormat="1" ht="18" customHeight="1">
      <c r="B155" s="49" t="s">
        <v>655</v>
      </c>
      <c r="C155" s="49" t="s">
        <v>659</v>
      </c>
      <c r="D155" s="50" t="s">
        <v>671</v>
      </c>
      <c r="E155" s="51" t="s">
        <v>658</v>
      </c>
      <c r="F155" s="52">
        <v>0.1341</v>
      </c>
      <c r="G155" s="49"/>
    </row>
    <row r="156" spans="2:7" s="22" customFormat="1" ht="18" customHeight="1">
      <c r="B156" s="49" t="s">
        <v>655</v>
      </c>
      <c r="C156" s="49" t="s">
        <v>666</v>
      </c>
      <c r="D156" s="50" t="s">
        <v>672</v>
      </c>
      <c r="E156" s="51" t="s">
        <v>658</v>
      </c>
      <c r="F156" s="52">
        <v>0.16439999999999999</v>
      </c>
      <c r="G156" s="49"/>
    </row>
    <row r="157" spans="2:7" s="22" customFormat="1" ht="18" customHeight="1">
      <c r="B157" s="49" t="s">
        <v>655</v>
      </c>
      <c r="C157" s="49" t="s">
        <v>666</v>
      </c>
      <c r="D157" s="50" t="s">
        <v>672</v>
      </c>
      <c r="E157" s="51" t="s">
        <v>658</v>
      </c>
      <c r="F157" s="52">
        <v>0.20960000000000001</v>
      </c>
      <c r="G157" s="49"/>
    </row>
    <row r="158" spans="2:7" s="22" customFormat="1" ht="18" customHeight="1">
      <c r="B158" s="49" t="s">
        <v>655</v>
      </c>
      <c r="C158" s="49" t="s">
        <v>656</v>
      </c>
      <c r="D158" s="50" t="s">
        <v>673</v>
      </c>
      <c r="E158" s="51" t="s">
        <v>658</v>
      </c>
      <c r="F158" s="52">
        <v>0.14380000000000001</v>
      </c>
      <c r="G158" s="49"/>
    </row>
    <row r="159" spans="2:7" s="22" customFormat="1" ht="18" customHeight="1">
      <c r="B159" s="49" t="s">
        <v>655</v>
      </c>
      <c r="C159" s="49" t="s">
        <v>656</v>
      </c>
      <c r="D159" s="50" t="s">
        <v>673</v>
      </c>
      <c r="E159" s="51" t="s">
        <v>658</v>
      </c>
      <c r="F159" s="52">
        <v>0.17319999999999999</v>
      </c>
      <c r="G159" s="49"/>
    </row>
    <row r="160" spans="2:7" s="22" customFormat="1" ht="18" customHeight="1">
      <c r="B160" s="49" t="s">
        <v>655</v>
      </c>
      <c r="C160" s="49" t="s">
        <v>659</v>
      </c>
      <c r="D160" s="50" t="s">
        <v>673</v>
      </c>
      <c r="E160" s="51" t="s">
        <v>658</v>
      </c>
      <c r="F160" s="52">
        <v>0.12809999999999999</v>
      </c>
      <c r="G160" s="49"/>
    </row>
    <row r="161" spans="2:7" s="22" customFormat="1" ht="18" customHeight="1">
      <c r="B161" s="49" t="s">
        <v>655</v>
      </c>
      <c r="C161" s="49" t="s">
        <v>659</v>
      </c>
      <c r="D161" s="50" t="s">
        <v>673</v>
      </c>
      <c r="E161" s="51" t="s">
        <v>658</v>
      </c>
      <c r="F161" s="52">
        <v>0.1565</v>
      </c>
      <c r="G161" s="49"/>
    </row>
    <row r="162" spans="2:7" s="22" customFormat="1" ht="18" customHeight="1">
      <c r="B162" s="49" t="s">
        <v>655</v>
      </c>
      <c r="C162" s="49" t="s">
        <v>666</v>
      </c>
      <c r="D162" s="50" t="s">
        <v>673</v>
      </c>
      <c r="E162" s="51" t="s">
        <v>658</v>
      </c>
      <c r="F162" s="52">
        <v>0.18720000000000001</v>
      </c>
      <c r="G162" s="49"/>
    </row>
    <row r="163" spans="2:7" s="22" customFormat="1" ht="18" customHeight="1">
      <c r="B163" s="49" t="s">
        <v>655</v>
      </c>
      <c r="C163" s="49" t="s">
        <v>666</v>
      </c>
      <c r="D163" s="50" t="s">
        <v>673</v>
      </c>
      <c r="E163" s="51" t="s">
        <v>658</v>
      </c>
      <c r="F163" s="52">
        <v>0.2387</v>
      </c>
      <c r="G163" s="49"/>
    </row>
    <row r="164" spans="2:7" s="22" customFormat="1" ht="18" customHeight="1">
      <c r="B164" s="49" t="s">
        <v>655</v>
      </c>
      <c r="C164" s="49" t="s">
        <v>663</v>
      </c>
      <c r="D164" s="50" t="s">
        <v>673</v>
      </c>
      <c r="E164" s="51" t="s">
        <v>658</v>
      </c>
      <c r="F164" s="52">
        <v>9.3799999999999994E-2</v>
      </c>
      <c r="G164" s="49"/>
    </row>
    <row r="165" spans="2:7" s="22" customFormat="1" ht="18" customHeight="1">
      <c r="B165" s="49" t="s">
        <v>655</v>
      </c>
      <c r="C165" s="49" t="s">
        <v>656</v>
      </c>
      <c r="D165" s="50" t="s">
        <v>674</v>
      </c>
      <c r="E165" s="51" t="s">
        <v>658</v>
      </c>
      <c r="F165" s="52">
        <v>0.12280000000000001</v>
      </c>
      <c r="G165" s="49"/>
    </row>
    <row r="166" spans="2:7" s="22" customFormat="1" ht="18" customHeight="1">
      <c r="B166" s="49" t="s">
        <v>655</v>
      </c>
      <c r="C166" s="49" t="s">
        <v>656</v>
      </c>
      <c r="D166" s="50" t="s">
        <v>674</v>
      </c>
      <c r="E166" s="51" t="s">
        <v>658</v>
      </c>
      <c r="F166" s="52">
        <v>0.1479</v>
      </c>
      <c r="G166" s="49"/>
    </row>
    <row r="167" spans="2:7" s="22" customFormat="1" ht="18" customHeight="1">
      <c r="B167" s="49" t="s">
        <v>655</v>
      </c>
      <c r="C167" s="49" t="s">
        <v>659</v>
      </c>
      <c r="D167" s="50" t="s">
        <v>674</v>
      </c>
      <c r="E167" s="51" t="s">
        <v>658</v>
      </c>
      <c r="F167" s="52">
        <v>0.1091</v>
      </c>
      <c r="G167" s="49"/>
    </row>
    <row r="168" spans="2:7" s="22" customFormat="1" ht="18" customHeight="1">
      <c r="B168" s="49" t="s">
        <v>655</v>
      </c>
      <c r="C168" s="49" t="s">
        <v>659</v>
      </c>
      <c r="D168" s="50" t="s">
        <v>674</v>
      </c>
      <c r="E168" s="51" t="s">
        <v>658</v>
      </c>
      <c r="F168" s="52">
        <v>0.1333</v>
      </c>
      <c r="G168" s="49"/>
    </row>
    <row r="169" spans="2:7" s="22" customFormat="1" ht="18" customHeight="1">
      <c r="B169" s="49" t="s">
        <v>655</v>
      </c>
      <c r="C169" s="49" t="s">
        <v>666</v>
      </c>
      <c r="D169" s="50" t="s">
        <v>675</v>
      </c>
      <c r="E169" s="51" t="s">
        <v>658</v>
      </c>
      <c r="F169" s="52">
        <v>0.15140000000000001</v>
      </c>
      <c r="G169" s="49"/>
    </row>
    <row r="170" spans="2:7" s="22" customFormat="1" ht="18" customHeight="1">
      <c r="B170" s="49" t="s">
        <v>655</v>
      </c>
      <c r="C170" s="49" t="s">
        <v>666</v>
      </c>
      <c r="D170" s="50" t="s">
        <v>675</v>
      </c>
      <c r="E170" s="51" t="s">
        <v>658</v>
      </c>
      <c r="F170" s="52">
        <v>0.193</v>
      </c>
      <c r="G170" s="49"/>
    </row>
    <row r="171" spans="2:7" s="22" customFormat="1" ht="18" customHeight="1">
      <c r="B171" s="49" t="s">
        <v>655</v>
      </c>
      <c r="C171" s="49" t="s">
        <v>656</v>
      </c>
      <c r="D171" s="50" t="s">
        <v>676</v>
      </c>
      <c r="E171" s="51" t="s">
        <v>658</v>
      </c>
      <c r="F171" s="52">
        <v>0.1143</v>
      </c>
      <c r="G171" s="49"/>
    </row>
    <row r="172" spans="2:7" s="22" customFormat="1" ht="18" customHeight="1">
      <c r="B172" s="49" t="s">
        <v>655</v>
      </c>
      <c r="C172" s="49" t="s">
        <v>656</v>
      </c>
      <c r="D172" s="50" t="s">
        <v>676</v>
      </c>
      <c r="E172" s="51" t="s">
        <v>658</v>
      </c>
      <c r="F172" s="52">
        <v>0.13769999999999999</v>
      </c>
      <c r="G172" s="49"/>
    </row>
    <row r="173" spans="2:7" s="22" customFormat="1" ht="18" customHeight="1">
      <c r="B173" s="49" t="s">
        <v>655</v>
      </c>
      <c r="C173" s="49" t="s">
        <v>659</v>
      </c>
      <c r="D173" s="50" t="s">
        <v>676</v>
      </c>
      <c r="E173" s="51" t="s">
        <v>658</v>
      </c>
      <c r="F173" s="52">
        <v>0.10199999999999999</v>
      </c>
      <c r="G173" s="49"/>
    </row>
    <row r="174" spans="2:7" s="22" customFormat="1" ht="18" customHeight="1">
      <c r="B174" s="49" t="s">
        <v>655</v>
      </c>
      <c r="C174" s="49" t="s">
        <v>659</v>
      </c>
      <c r="D174" s="50" t="s">
        <v>676</v>
      </c>
      <c r="E174" s="51" t="s">
        <v>658</v>
      </c>
      <c r="F174" s="52">
        <v>0.1246</v>
      </c>
      <c r="G174" s="49"/>
    </row>
    <row r="175" spans="2:7" s="22" customFormat="1" ht="18" customHeight="1">
      <c r="B175" s="49" t="s">
        <v>655</v>
      </c>
      <c r="C175" s="49" t="s">
        <v>659</v>
      </c>
      <c r="D175" s="50" t="s">
        <v>677</v>
      </c>
      <c r="E175" s="51" t="s">
        <v>658</v>
      </c>
      <c r="F175" s="52">
        <v>7.4200000000000002E-2</v>
      </c>
      <c r="G175" s="49"/>
    </row>
    <row r="176" spans="2:7" s="22" customFormat="1" ht="18" customHeight="1">
      <c r="B176" s="49" t="s">
        <v>655</v>
      </c>
      <c r="C176" s="49" t="s">
        <v>659</v>
      </c>
      <c r="D176" s="50" t="s">
        <v>677</v>
      </c>
      <c r="E176" s="51" t="s">
        <v>658</v>
      </c>
      <c r="F176" s="52">
        <v>9.06E-2</v>
      </c>
      <c r="G176" s="49"/>
    </row>
    <row r="177" spans="2:7" s="22" customFormat="1" ht="18" customHeight="1">
      <c r="B177" s="49" t="s">
        <v>655</v>
      </c>
      <c r="C177" s="49" t="s">
        <v>666</v>
      </c>
      <c r="D177" s="50" t="s">
        <v>677</v>
      </c>
      <c r="E177" s="51" t="s">
        <v>658</v>
      </c>
      <c r="F177" s="52">
        <v>9.7199999999999995E-2</v>
      </c>
      <c r="G177" s="49"/>
    </row>
    <row r="178" spans="2:7" s="22" customFormat="1" ht="18" customHeight="1">
      <c r="B178" s="49" t="s">
        <v>655</v>
      </c>
      <c r="C178" s="49" t="s">
        <v>666</v>
      </c>
      <c r="D178" s="50" t="s">
        <v>677</v>
      </c>
      <c r="E178" s="51" t="s">
        <v>658</v>
      </c>
      <c r="F178" s="52">
        <v>0.124</v>
      </c>
      <c r="G178" s="49"/>
    </row>
    <row r="179" spans="2:7" s="22" customFormat="1" ht="18" customHeight="1">
      <c r="B179" s="49" t="s">
        <v>655</v>
      </c>
      <c r="C179" s="49" t="s">
        <v>663</v>
      </c>
      <c r="D179" s="50" t="s">
        <v>677</v>
      </c>
      <c r="E179" s="51" t="s">
        <v>658</v>
      </c>
      <c r="F179" s="52">
        <v>8.5099999999999995E-2</v>
      </c>
      <c r="G179" s="49"/>
    </row>
    <row r="180" spans="2:7" s="22" customFormat="1" ht="18" customHeight="1">
      <c r="B180" s="49" t="s">
        <v>655</v>
      </c>
      <c r="C180" s="49" t="s">
        <v>659</v>
      </c>
      <c r="D180" s="50" t="s">
        <v>678</v>
      </c>
      <c r="E180" s="51" t="s">
        <v>658</v>
      </c>
      <c r="F180" s="52">
        <v>8.5199999999999998E-2</v>
      </c>
      <c r="G180" s="49"/>
    </row>
    <row r="181" spans="2:7" s="22" customFormat="1" ht="18" customHeight="1">
      <c r="B181" s="49" t="s">
        <v>655</v>
      </c>
      <c r="C181" s="49" t="s">
        <v>659</v>
      </c>
      <c r="D181" s="50" t="s">
        <v>678</v>
      </c>
      <c r="E181" s="51" t="s">
        <v>658</v>
      </c>
      <c r="F181" s="52">
        <v>0.104</v>
      </c>
      <c r="G181" s="49"/>
    </row>
    <row r="182" spans="2:7" s="22" customFormat="1" ht="18" customHeight="1">
      <c r="B182" s="49" t="s">
        <v>655</v>
      </c>
      <c r="C182" s="49" t="s">
        <v>666</v>
      </c>
      <c r="D182" s="50" t="s">
        <v>679</v>
      </c>
      <c r="E182" s="51" t="s">
        <v>658</v>
      </c>
      <c r="F182" s="52">
        <v>0.1173</v>
      </c>
      <c r="G182" s="49"/>
    </row>
    <row r="183" spans="2:7" s="22" customFormat="1" ht="18" customHeight="1">
      <c r="B183" s="49" t="s">
        <v>655</v>
      </c>
      <c r="C183" s="49" t="s">
        <v>666</v>
      </c>
      <c r="D183" s="50" t="s">
        <v>679</v>
      </c>
      <c r="E183" s="51" t="s">
        <v>658</v>
      </c>
      <c r="F183" s="52">
        <v>0.14960000000000001</v>
      </c>
      <c r="G183" s="49"/>
    </row>
    <row r="184" spans="2:7" s="22" customFormat="1" ht="18" customHeight="1">
      <c r="B184" s="49" t="s">
        <v>655</v>
      </c>
      <c r="C184" s="49" t="s">
        <v>659</v>
      </c>
      <c r="D184" s="50" t="s">
        <v>680</v>
      </c>
      <c r="E184" s="51" t="s">
        <v>658</v>
      </c>
      <c r="F184" s="52">
        <v>7.3200000000000001E-2</v>
      </c>
      <c r="G184" s="49"/>
    </row>
    <row r="185" spans="2:7" s="22" customFormat="1" ht="18" customHeight="1">
      <c r="B185" s="49" t="s">
        <v>655</v>
      </c>
      <c r="C185" s="49" t="s">
        <v>659</v>
      </c>
      <c r="D185" s="50" t="s">
        <v>680</v>
      </c>
      <c r="E185" s="51" t="s">
        <v>658</v>
      </c>
      <c r="F185" s="52">
        <v>8.9499999999999996E-2</v>
      </c>
      <c r="G185" s="49"/>
    </row>
    <row r="186" spans="2:7" s="22" customFormat="1" ht="18" customHeight="1">
      <c r="B186" s="49" t="s">
        <v>655</v>
      </c>
      <c r="C186" s="49" t="s">
        <v>666</v>
      </c>
      <c r="D186" s="50" t="s">
        <v>681</v>
      </c>
      <c r="E186" s="51" t="s">
        <v>658</v>
      </c>
      <c r="F186" s="52">
        <v>0.1017</v>
      </c>
      <c r="G186" s="49"/>
    </row>
    <row r="187" spans="2:7" s="22" customFormat="1" ht="18" customHeight="1">
      <c r="B187" s="49" t="s">
        <v>655</v>
      </c>
      <c r="C187" s="49" t="s">
        <v>666</v>
      </c>
      <c r="D187" s="50" t="s">
        <v>681</v>
      </c>
      <c r="E187" s="51" t="s">
        <v>658</v>
      </c>
      <c r="F187" s="52">
        <v>0.12970000000000001</v>
      </c>
      <c r="G187" s="49"/>
    </row>
    <row r="188" spans="2:7" s="22" customFormat="1" ht="18" customHeight="1">
      <c r="B188" s="49" t="s">
        <v>655</v>
      </c>
      <c r="C188" s="49" t="s">
        <v>659</v>
      </c>
      <c r="D188" s="50" t="s">
        <v>682</v>
      </c>
      <c r="E188" s="51" t="s">
        <v>658</v>
      </c>
      <c r="F188" s="52">
        <v>7.0599999999999996E-2</v>
      </c>
      <c r="G188" s="49"/>
    </row>
    <row r="189" spans="2:7" s="22" customFormat="1" ht="18" customHeight="1">
      <c r="B189" s="49" t="s">
        <v>655</v>
      </c>
      <c r="C189" s="49" t="s">
        <v>659</v>
      </c>
      <c r="D189" s="50" t="s">
        <v>682</v>
      </c>
      <c r="E189" s="51" t="s">
        <v>658</v>
      </c>
      <c r="F189" s="52">
        <v>8.6199999999999999E-2</v>
      </c>
      <c r="G189" s="49"/>
    </row>
    <row r="190" spans="2:7" s="22" customFormat="1" ht="18" customHeight="1">
      <c r="B190" s="49" t="s">
        <v>655</v>
      </c>
      <c r="C190" s="49" t="s">
        <v>666</v>
      </c>
      <c r="D190" s="50" t="s">
        <v>682</v>
      </c>
      <c r="E190" s="51" t="s">
        <v>658</v>
      </c>
      <c r="F190" s="52">
        <v>8.8800000000000004E-2</v>
      </c>
      <c r="G190" s="49"/>
    </row>
    <row r="191" spans="2:7" s="22" customFormat="1" ht="18" customHeight="1">
      <c r="B191" s="49" t="s">
        <v>655</v>
      </c>
      <c r="C191" s="49" t="s">
        <v>666</v>
      </c>
      <c r="D191" s="50" t="s">
        <v>682</v>
      </c>
      <c r="E191" s="51" t="s">
        <v>658</v>
      </c>
      <c r="F191" s="52">
        <v>0.11310000000000001</v>
      </c>
      <c r="G191" s="49"/>
    </row>
    <row r="192" spans="2:7" s="22" customFormat="1" ht="18" customHeight="1">
      <c r="B192" s="49" t="s">
        <v>655</v>
      </c>
      <c r="C192" s="49" t="s">
        <v>659</v>
      </c>
      <c r="D192" s="50" t="s">
        <v>683</v>
      </c>
      <c r="E192" s="51" t="s">
        <v>658</v>
      </c>
      <c r="F192" s="52">
        <v>6.7799999999999999E-2</v>
      </c>
      <c r="G192" s="49"/>
    </row>
    <row r="193" spans="2:7" s="22" customFormat="1" ht="18" customHeight="1">
      <c r="B193" s="49" t="s">
        <v>655</v>
      </c>
      <c r="C193" s="49" t="s">
        <v>659</v>
      </c>
      <c r="D193" s="50" t="s">
        <v>683</v>
      </c>
      <c r="E193" s="51" t="s">
        <v>658</v>
      </c>
      <c r="F193" s="52">
        <v>8.2799999999999999E-2</v>
      </c>
      <c r="G193" s="49"/>
    </row>
    <row r="194" spans="2:7" s="22" customFormat="1" ht="18" customHeight="1">
      <c r="B194" s="49" t="s">
        <v>655</v>
      </c>
      <c r="C194" s="49" t="s">
        <v>666</v>
      </c>
      <c r="D194" s="50" t="s">
        <v>683</v>
      </c>
      <c r="E194" s="51" t="s">
        <v>658</v>
      </c>
      <c r="F194" s="52">
        <v>8.1199999999999994E-2</v>
      </c>
      <c r="G194" s="49"/>
    </row>
    <row r="195" spans="2:7" s="22" customFormat="1" ht="18" customHeight="1">
      <c r="B195" s="49" t="s">
        <v>655</v>
      </c>
      <c r="C195" s="49" t="s">
        <v>666</v>
      </c>
      <c r="D195" s="50" t="s">
        <v>683</v>
      </c>
      <c r="E195" s="51" t="s">
        <v>658</v>
      </c>
      <c r="F195" s="52">
        <v>0.10349999999999999</v>
      </c>
      <c r="G195" s="49"/>
    </row>
    <row r="196" spans="2:7" s="22" customFormat="1" ht="18" customHeight="1">
      <c r="B196" s="49" t="s">
        <v>655</v>
      </c>
      <c r="C196" s="49" t="s">
        <v>656</v>
      </c>
      <c r="D196" s="50" t="s">
        <v>684</v>
      </c>
      <c r="E196" s="51" t="s">
        <v>658</v>
      </c>
      <c r="F196" s="52">
        <v>0.24229999999999999</v>
      </c>
      <c r="G196" s="49"/>
    </row>
    <row r="197" spans="2:7" s="22" customFormat="1" ht="18" customHeight="1">
      <c r="B197" s="49" t="s">
        <v>655</v>
      </c>
      <c r="C197" s="49" t="s">
        <v>656</v>
      </c>
      <c r="D197" s="50" t="s">
        <v>684</v>
      </c>
      <c r="E197" s="51" t="s">
        <v>658</v>
      </c>
      <c r="F197" s="52">
        <v>0.2918</v>
      </c>
      <c r="G197" s="49"/>
    </row>
    <row r="198" spans="2:7" s="22" customFormat="1" ht="18" customHeight="1">
      <c r="B198" s="49" t="s">
        <v>655</v>
      </c>
      <c r="C198" s="49" t="s">
        <v>659</v>
      </c>
      <c r="D198" s="50" t="s">
        <v>684</v>
      </c>
      <c r="E198" s="51" t="s">
        <v>658</v>
      </c>
      <c r="F198" s="52">
        <v>0.18640000000000001</v>
      </c>
      <c r="G198" s="49"/>
    </row>
    <row r="199" spans="2:7" s="22" customFormat="1" ht="18" customHeight="1">
      <c r="B199" s="49" t="s">
        <v>655</v>
      </c>
      <c r="C199" s="49" t="s">
        <v>659</v>
      </c>
      <c r="D199" s="50" t="s">
        <v>684</v>
      </c>
      <c r="E199" s="51" t="s">
        <v>658</v>
      </c>
      <c r="F199" s="52">
        <v>0.2276</v>
      </c>
      <c r="G199" s="49"/>
    </row>
    <row r="200" spans="2:7" s="22" customFormat="1" ht="18" customHeight="1">
      <c r="B200" s="49" t="s">
        <v>655</v>
      </c>
      <c r="C200" s="49" t="s">
        <v>666</v>
      </c>
      <c r="D200" s="50" t="s">
        <v>684</v>
      </c>
      <c r="E200" s="51" t="s">
        <v>658</v>
      </c>
      <c r="F200" s="52">
        <v>0.23849999999999999</v>
      </c>
      <c r="G200" s="49"/>
    </row>
    <row r="201" spans="2:7" s="22" customFormat="1" ht="18" customHeight="1">
      <c r="B201" s="49" t="s">
        <v>655</v>
      </c>
      <c r="C201" s="49" t="s">
        <v>666</v>
      </c>
      <c r="D201" s="50" t="s">
        <v>684</v>
      </c>
      <c r="E201" s="51" t="s">
        <v>658</v>
      </c>
      <c r="F201" s="52">
        <v>0.30409999999999998</v>
      </c>
      <c r="G201" s="49"/>
    </row>
    <row r="202" spans="2:7" s="22" customFormat="1" ht="18" customHeight="1">
      <c r="B202" s="49" t="s">
        <v>655</v>
      </c>
      <c r="C202" s="49" t="s">
        <v>685</v>
      </c>
      <c r="D202" s="50" t="s">
        <v>684</v>
      </c>
      <c r="E202" s="51" t="s">
        <v>658</v>
      </c>
      <c r="F202" s="52">
        <v>8.0299999999999996E-2</v>
      </c>
      <c r="G202" s="49"/>
    </row>
    <row r="203" spans="2:7" s="22" customFormat="1" ht="18" customHeight="1">
      <c r="B203" s="49" t="s">
        <v>655</v>
      </c>
      <c r="C203" s="49" t="s">
        <v>685</v>
      </c>
      <c r="D203" s="50" t="s">
        <v>684</v>
      </c>
      <c r="E203" s="51" t="s">
        <v>658</v>
      </c>
      <c r="F203" s="52">
        <v>9.4E-2</v>
      </c>
      <c r="G203" s="49"/>
    </row>
    <row r="204" spans="2:7" s="22" customFormat="1" ht="18" customHeight="1">
      <c r="B204" s="49" t="s">
        <v>655</v>
      </c>
      <c r="C204" s="49" t="s">
        <v>686</v>
      </c>
      <c r="D204" s="50" t="s">
        <v>662</v>
      </c>
      <c r="E204" s="51" t="s">
        <v>658</v>
      </c>
      <c r="F204" s="52">
        <v>0.30930000000000002</v>
      </c>
      <c r="G204" s="49"/>
    </row>
    <row r="205" spans="2:7" s="22" customFormat="1" ht="18" customHeight="1">
      <c r="B205" s="49" t="s">
        <v>655</v>
      </c>
      <c r="C205" s="49" t="s">
        <v>686</v>
      </c>
      <c r="D205" s="50" t="s">
        <v>662</v>
      </c>
      <c r="E205" s="51" t="s">
        <v>658</v>
      </c>
      <c r="F205" s="52">
        <v>0.3725</v>
      </c>
      <c r="G205" s="49"/>
    </row>
    <row r="206" spans="2:7" s="22" customFormat="1" ht="18" customHeight="1">
      <c r="B206" s="49" t="s">
        <v>655</v>
      </c>
      <c r="C206" s="49" t="s">
        <v>687</v>
      </c>
      <c r="D206" s="50" t="s">
        <v>662</v>
      </c>
      <c r="E206" s="51" t="s">
        <v>658</v>
      </c>
      <c r="F206" s="52">
        <v>0.30320000000000003</v>
      </c>
      <c r="G206" s="49"/>
    </row>
    <row r="207" spans="2:7" s="22" customFormat="1" ht="18" customHeight="1">
      <c r="B207" s="49" t="s">
        <v>655</v>
      </c>
      <c r="C207" s="49" t="s">
        <v>687</v>
      </c>
      <c r="D207" s="50" t="s">
        <v>662</v>
      </c>
      <c r="E207" s="51" t="s">
        <v>658</v>
      </c>
      <c r="F207" s="52">
        <v>0.37040000000000001</v>
      </c>
      <c r="G207" s="49"/>
    </row>
    <row r="208" spans="2:7" s="22" customFormat="1" ht="18" customHeight="1">
      <c r="B208" s="49" t="s">
        <v>655</v>
      </c>
      <c r="C208" s="49" t="s">
        <v>688</v>
      </c>
      <c r="D208" s="50" t="s">
        <v>662</v>
      </c>
      <c r="E208" s="51" t="s">
        <v>658</v>
      </c>
      <c r="F208" s="52">
        <v>0.17169999999999999</v>
      </c>
      <c r="G208" s="49"/>
    </row>
    <row r="209" spans="2:7" s="22" customFormat="1" ht="18" customHeight="1">
      <c r="B209" s="49" t="s">
        <v>655</v>
      </c>
      <c r="C209" s="49" t="s">
        <v>686</v>
      </c>
      <c r="D209" s="50" t="s">
        <v>668</v>
      </c>
      <c r="E209" s="51" t="s">
        <v>658</v>
      </c>
      <c r="F209" s="52">
        <v>0.2823</v>
      </c>
      <c r="G209" s="49"/>
    </row>
    <row r="210" spans="2:7" s="22" customFormat="1" ht="18" customHeight="1">
      <c r="B210" s="49" t="s">
        <v>655</v>
      </c>
      <c r="C210" s="49" t="s">
        <v>686</v>
      </c>
      <c r="D210" s="50" t="s">
        <v>668</v>
      </c>
      <c r="E210" s="51" t="s">
        <v>658</v>
      </c>
      <c r="F210" s="52">
        <v>0.33989999999999998</v>
      </c>
      <c r="G210" s="49"/>
    </row>
    <row r="211" spans="2:7" s="22" customFormat="1" ht="18" customHeight="1">
      <c r="B211" s="49" t="s">
        <v>655</v>
      </c>
      <c r="C211" s="49" t="s">
        <v>687</v>
      </c>
      <c r="D211" s="50" t="s">
        <v>668</v>
      </c>
      <c r="E211" s="51" t="s">
        <v>658</v>
      </c>
      <c r="F211" s="52">
        <v>0.26390000000000002</v>
      </c>
      <c r="G211" s="49"/>
    </row>
    <row r="212" spans="2:7" s="22" customFormat="1" ht="18" customHeight="1">
      <c r="B212" s="49" t="s">
        <v>655</v>
      </c>
      <c r="C212" s="49" t="s">
        <v>687</v>
      </c>
      <c r="D212" s="50" t="s">
        <v>668</v>
      </c>
      <c r="E212" s="51" t="s">
        <v>658</v>
      </c>
      <c r="F212" s="52">
        <v>0.32229999999999998</v>
      </c>
      <c r="G212" s="49"/>
    </row>
    <row r="213" spans="2:7" s="22" customFormat="1" ht="18" customHeight="1">
      <c r="B213" s="49" t="s">
        <v>655</v>
      </c>
      <c r="C213" s="49" t="s">
        <v>689</v>
      </c>
      <c r="D213" s="50" t="s">
        <v>668</v>
      </c>
      <c r="E213" s="51" t="s">
        <v>658</v>
      </c>
      <c r="F213" s="52">
        <v>0.33600000000000002</v>
      </c>
      <c r="G213" s="49"/>
    </row>
    <row r="214" spans="2:7" s="22" customFormat="1" ht="18" customHeight="1">
      <c r="B214" s="49" t="s">
        <v>655</v>
      </c>
      <c r="C214" s="49" t="s">
        <v>689</v>
      </c>
      <c r="D214" s="50" t="s">
        <v>668</v>
      </c>
      <c r="E214" s="51" t="s">
        <v>658</v>
      </c>
      <c r="F214" s="52">
        <v>0.42830000000000001</v>
      </c>
      <c r="G214" s="49"/>
    </row>
    <row r="215" spans="2:7" s="22" customFormat="1" ht="18" customHeight="1">
      <c r="B215" s="49" t="s">
        <v>655</v>
      </c>
      <c r="C215" s="49" t="s">
        <v>688</v>
      </c>
      <c r="D215" s="50" t="s">
        <v>668</v>
      </c>
      <c r="E215" s="51" t="s">
        <v>658</v>
      </c>
      <c r="F215" s="52">
        <v>0.1118</v>
      </c>
      <c r="G215" s="49"/>
    </row>
    <row r="216" spans="2:7" s="22" customFormat="1" ht="18" customHeight="1">
      <c r="B216" s="49" t="s">
        <v>655</v>
      </c>
      <c r="C216" s="49" t="s">
        <v>686</v>
      </c>
      <c r="D216" s="50" t="s">
        <v>673</v>
      </c>
      <c r="E216" s="51" t="s">
        <v>658</v>
      </c>
      <c r="F216" s="52">
        <v>0.16109999999999999</v>
      </c>
      <c r="G216" s="49"/>
    </row>
    <row r="217" spans="2:7" s="22" customFormat="1" ht="18" customHeight="1">
      <c r="B217" s="49" t="s">
        <v>655</v>
      </c>
      <c r="C217" s="49" t="s">
        <v>686</v>
      </c>
      <c r="D217" s="50" t="s">
        <v>673</v>
      </c>
      <c r="E217" s="51" t="s">
        <v>658</v>
      </c>
      <c r="F217" s="52">
        <v>0.19400000000000001</v>
      </c>
      <c r="G217" s="49"/>
    </row>
    <row r="218" spans="2:7" s="22" customFormat="1" ht="18" customHeight="1">
      <c r="B218" s="49" t="s">
        <v>655</v>
      </c>
      <c r="C218" s="49" t="s">
        <v>687</v>
      </c>
      <c r="D218" s="50" t="s">
        <v>673</v>
      </c>
      <c r="E218" s="51" t="s">
        <v>658</v>
      </c>
      <c r="F218" s="52">
        <v>0.14349999999999999</v>
      </c>
      <c r="G218" s="49"/>
    </row>
    <row r="219" spans="2:7" s="22" customFormat="1" ht="18" customHeight="1">
      <c r="B219" s="49" t="s">
        <v>655</v>
      </c>
      <c r="C219" s="49" t="s">
        <v>687</v>
      </c>
      <c r="D219" s="50" t="s">
        <v>673</v>
      </c>
      <c r="E219" s="51" t="s">
        <v>658</v>
      </c>
      <c r="F219" s="52">
        <v>0.17530000000000001</v>
      </c>
      <c r="G219" s="49"/>
    </row>
    <row r="220" spans="2:7" s="22" customFormat="1" ht="18" customHeight="1">
      <c r="B220" s="49" t="s">
        <v>655</v>
      </c>
      <c r="C220" s="49" t="s">
        <v>689</v>
      </c>
      <c r="D220" s="50" t="s">
        <v>673</v>
      </c>
      <c r="E220" s="51" t="s">
        <v>658</v>
      </c>
      <c r="F220" s="52">
        <v>0.2097</v>
      </c>
      <c r="G220" s="49"/>
    </row>
    <row r="221" spans="2:7" s="22" customFormat="1" ht="18" customHeight="1">
      <c r="B221" s="49" t="s">
        <v>655</v>
      </c>
      <c r="C221" s="49" t="s">
        <v>689</v>
      </c>
      <c r="D221" s="50" t="s">
        <v>673</v>
      </c>
      <c r="E221" s="51" t="s">
        <v>658</v>
      </c>
      <c r="F221" s="52">
        <v>0.26729999999999998</v>
      </c>
      <c r="G221" s="49"/>
    </row>
    <row r="222" spans="2:7" s="22" customFormat="1" ht="18" customHeight="1">
      <c r="B222" s="49" t="s">
        <v>655</v>
      </c>
      <c r="C222" s="49" t="s">
        <v>688</v>
      </c>
      <c r="D222" s="50" t="s">
        <v>673</v>
      </c>
      <c r="E222" s="51" t="s">
        <v>658</v>
      </c>
      <c r="F222" s="52">
        <v>0.105</v>
      </c>
      <c r="G222" s="49"/>
    </row>
    <row r="223" spans="2:7" s="22" customFormat="1" ht="18" customHeight="1">
      <c r="B223" s="49" t="s">
        <v>655</v>
      </c>
      <c r="C223" s="49" t="s">
        <v>687</v>
      </c>
      <c r="D223" s="50" t="s">
        <v>677</v>
      </c>
      <c r="E223" s="51" t="s">
        <v>658</v>
      </c>
      <c r="F223" s="52">
        <v>8.3099999999999993E-2</v>
      </c>
      <c r="G223" s="49"/>
    </row>
    <row r="224" spans="2:7" s="22" customFormat="1" ht="18" customHeight="1">
      <c r="B224" s="49" t="s">
        <v>655</v>
      </c>
      <c r="C224" s="49" t="s">
        <v>687</v>
      </c>
      <c r="D224" s="50" t="s">
        <v>677</v>
      </c>
      <c r="E224" s="51" t="s">
        <v>658</v>
      </c>
      <c r="F224" s="52">
        <v>0.10150000000000001</v>
      </c>
      <c r="G224" s="49"/>
    </row>
    <row r="225" spans="2:7" s="22" customFormat="1" ht="18" customHeight="1">
      <c r="B225" s="49" t="s">
        <v>655</v>
      </c>
      <c r="C225" s="49" t="s">
        <v>689</v>
      </c>
      <c r="D225" s="50" t="s">
        <v>677</v>
      </c>
      <c r="E225" s="51" t="s">
        <v>658</v>
      </c>
      <c r="F225" s="52">
        <v>0.1089</v>
      </c>
      <c r="G225" s="49"/>
    </row>
    <row r="226" spans="2:7" s="22" customFormat="1" ht="18" customHeight="1">
      <c r="B226" s="49" t="s">
        <v>655</v>
      </c>
      <c r="C226" s="49" t="s">
        <v>689</v>
      </c>
      <c r="D226" s="50" t="s">
        <v>677</v>
      </c>
      <c r="E226" s="51" t="s">
        <v>658</v>
      </c>
      <c r="F226" s="52">
        <v>0.13880000000000001</v>
      </c>
      <c r="G226" s="49"/>
    </row>
    <row r="227" spans="2:7" s="22" customFormat="1" ht="18" customHeight="1">
      <c r="B227" s="49" t="s">
        <v>655</v>
      </c>
      <c r="C227" s="49" t="s">
        <v>688</v>
      </c>
      <c r="D227" s="50" t="s">
        <v>677</v>
      </c>
      <c r="E227" s="51" t="s">
        <v>658</v>
      </c>
      <c r="F227" s="52">
        <v>9.5299999999999996E-2</v>
      </c>
      <c r="G227" s="49"/>
    </row>
    <row r="228" spans="2:7" s="22" customFormat="1" ht="18" customHeight="1">
      <c r="B228" s="49" t="s">
        <v>655</v>
      </c>
      <c r="C228" s="49" t="s">
        <v>690</v>
      </c>
      <c r="D228" s="50" t="s">
        <v>691</v>
      </c>
      <c r="E228" s="51" t="s">
        <v>658</v>
      </c>
      <c r="F228" s="52">
        <v>0.86099999999999999</v>
      </c>
      <c r="G228" s="49"/>
    </row>
    <row r="229" spans="2:7" s="22" customFormat="1" ht="18" customHeight="1">
      <c r="B229" s="49" t="s">
        <v>655</v>
      </c>
      <c r="C229" s="49" t="s">
        <v>692</v>
      </c>
      <c r="D229" s="50" t="s">
        <v>693</v>
      </c>
      <c r="E229" s="51" t="s">
        <v>658</v>
      </c>
      <c r="F229" s="52">
        <v>1.516</v>
      </c>
      <c r="G229" s="49"/>
    </row>
    <row r="230" spans="2:7" s="22" customFormat="1" ht="18" customHeight="1">
      <c r="B230" s="49" t="s">
        <v>655</v>
      </c>
      <c r="C230" s="49" t="s">
        <v>692</v>
      </c>
      <c r="D230" s="50" t="s">
        <v>694</v>
      </c>
      <c r="E230" s="51" t="s">
        <v>658</v>
      </c>
      <c r="F230" s="52">
        <v>1.2390000000000001</v>
      </c>
      <c r="G230" s="49"/>
    </row>
    <row r="231" spans="2:7" s="22" customFormat="1" ht="18" customHeight="1">
      <c r="B231" s="49" t="s">
        <v>655</v>
      </c>
      <c r="C231" s="49" t="s">
        <v>692</v>
      </c>
      <c r="D231" s="50" t="s">
        <v>695</v>
      </c>
      <c r="E231" s="51" t="s">
        <v>658</v>
      </c>
      <c r="F231" s="52">
        <v>1.363</v>
      </c>
      <c r="G231" s="49"/>
    </row>
    <row r="232" spans="2:7" s="22" customFormat="1" ht="18" customHeight="1">
      <c r="B232" s="49" t="s">
        <v>655</v>
      </c>
      <c r="C232" s="49" t="s">
        <v>692</v>
      </c>
      <c r="D232" s="50" t="s">
        <v>696</v>
      </c>
      <c r="E232" s="51" t="s">
        <v>658</v>
      </c>
      <c r="F232" s="52">
        <v>0.60799999999999998</v>
      </c>
      <c r="G232" s="49"/>
    </row>
    <row r="233" spans="2:7" s="22" customFormat="1" ht="18" customHeight="1">
      <c r="B233" s="49" t="s">
        <v>655</v>
      </c>
      <c r="C233" s="49" t="s">
        <v>692</v>
      </c>
      <c r="D233" s="50" t="s">
        <v>697</v>
      </c>
      <c r="E233" s="51" t="s">
        <v>658</v>
      </c>
      <c r="F233" s="52">
        <v>0.93600000000000005</v>
      </c>
      <c r="G233" s="49"/>
    </row>
    <row r="234" spans="2:7" s="22" customFormat="1" ht="18" customHeight="1">
      <c r="B234" s="49" t="s">
        <v>655</v>
      </c>
      <c r="C234" s="49" t="s">
        <v>692</v>
      </c>
      <c r="D234" s="50" t="s">
        <v>698</v>
      </c>
      <c r="E234" s="51" t="s">
        <v>658</v>
      </c>
      <c r="F234" s="52">
        <v>0.78800000000000003</v>
      </c>
      <c r="G234" s="49"/>
    </row>
    <row r="235" spans="2:7" s="22" customFormat="1" ht="18" customHeight="1">
      <c r="B235" s="49" t="s">
        <v>655</v>
      </c>
      <c r="C235" s="49" t="s">
        <v>699</v>
      </c>
      <c r="D235" s="50" t="s">
        <v>700</v>
      </c>
      <c r="E235" s="51" t="s">
        <v>658</v>
      </c>
      <c r="F235" s="52">
        <v>6.4060000000000002E-3</v>
      </c>
      <c r="G235" s="49"/>
    </row>
    <row r="236" spans="2:7" s="22" customFormat="1" ht="18" customHeight="1">
      <c r="B236" s="49" t="s">
        <v>655</v>
      </c>
      <c r="C236" s="49" t="s">
        <v>701</v>
      </c>
      <c r="D236" s="50" t="s">
        <v>702</v>
      </c>
      <c r="E236" s="51" t="s">
        <v>658</v>
      </c>
      <c r="F236" s="52">
        <v>2.01E-2</v>
      </c>
      <c r="G236" s="49"/>
    </row>
    <row r="237" spans="2:7" s="22" customFormat="1" ht="18" customHeight="1">
      <c r="B237" s="49" t="s">
        <v>655</v>
      </c>
      <c r="C237" s="49" t="s">
        <v>701</v>
      </c>
      <c r="D237" s="50" t="s">
        <v>703</v>
      </c>
      <c r="E237" s="51" t="s">
        <v>658</v>
      </c>
      <c r="F237" s="52">
        <v>1.1299999999999999E-2</v>
      </c>
      <c r="G237" s="49"/>
    </row>
    <row r="238" spans="2:7" s="22" customFormat="1" ht="18" customHeight="1">
      <c r="B238" s="49" t="s">
        <v>655</v>
      </c>
      <c r="C238" s="49" t="s">
        <v>701</v>
      </c>
      <c r="D238" s="50" t="s">
        <v>704</v>
      </c>
      <c r="E238" s="51" t="s">
        <v>658</v>
      </c>
      <c r="F238" s="52">
        <v>8.3999999999999995E-3</v>
      </c>
      <c r="G238" s="49"/>
    </row>
    <row r="239" spans="2:7" s="22" customFormat="1" ht="18" customHeight="1">
      <c r="B239" s="49" t="s">
        <v>655</v>
      </c>
      <c r="C239" s="49" t="s">
        <v>701</v>
      </c>
      <c r="D239" s="50" t="s">
        <v>705</v>
      </c>
      <c r="E239" s="51" t="s">
        <v>658</v>
      </c>
      <c r="F239" s="52">
        <v>3.39E-2</v>
      </c>
      <c r="G239" s="49"/>
    </row>
    <row r="240" spans="2:7" s="22" customFormat="1" ht="18" customHeight="1">
      <c r="B240" s="49" t="s">
        <v>655</v>
      </c>
      <c r="C240" s="49" t="s">
        <v>701</v>
      </c>
      <c r="D240" s="50" t="s">
        <v>706</v>
      </c>
      <c r="E240" s="51" t="s">
        <v>658</v>
      </c>
      <c r="F240" s="52">
        <v>2.1399999999999999E-2</v>
      </c>
      <c r="G240" s="49"/>
    </row>
    <row r="241" spans="2:7" s="22" customFormat="1" ht="18" customHeight="1">
      <c r="B241" s="49" t="s">
        <v>655</v>
      </c>
      <c r="C241" s="49" t="s">
        <v>701</v>
      </c>
      <c r="D241" s="50" t="s">
        <v>707</v>
      </c>
      <c r="E241" s="51" t="s">
        <v>658</v>
      </c>
      <c r="F241" s="52">
        <v>2.93E-2</v>
      </c>
      <c r="G241" s="49"/>
    </row>
    <row r="242" spans="2:7" s="22" customFormat="1" ht="18" customHeight="1">
      <c r="B242" s="49" t="s">
        <v>655</v>
      </c>
      <c r="C242" s="49" t="s">
        <v>701</v>
      </c>
      <c r="D242" s="50" t="s">
        <v>708</v>
      </c>
      <c r="E242" s="51" t="s">
        <v>658</v>
      </c>
      <c r="F242" s="52">
        <v>2.2599999999999999E-2</v>
      </c>
      <c r="G242" s="49"/>
    </row>
    <row r="243" spans="2:7" s="22" customFormat="1" ht="18" customHeight="1">
      <c r="B243" s="49" t="s">
        <v>655</v>
      </c>
      <c r="C243" s="49" t="s">
        <v>701</v>
      </c>
      <c r="D243" s="50" t="s">
        <v>709</v>
      </c>
      <c r="E243" s="51" t="s">
        <v>658</v>
      </c>
      <c r="F243" s="52">
        <v>1.9699999999999999E-2</v>
      </c>
      <c r="G243" s="49"/>
    </row>
    <row r="244" spans="2:7" s="22" customFormat="1" ht="18" customHeight="1">
      <c r="B244" s="49" t="s">
        <v>655</v>
      </c>
      <c r="C244" s="49" t="s">
        <v>701</v>
      </c>
      <c r="D244" s="50" t="s">
        <v>710</v>
      </c>
      <c r="E244" s="51" t="s">
        <v>658</v>
      </c>
      <c r="F244" s="52">
        <v>7.7100000000000002E-2</v>
      </c>
      <c r="G244" s="49"/>
    </row>
    <row r="245" spans="2:7" s="22" customFormat="1" ht="18" customHeight="1">
      <c r="B245" s="49" t="s">
        <v>655</v>
      </c>
      <c r="C245" s="49" t="s">
        <v>701</v>
      </c>
      <c r="D245" s="50" t="s">
        <v>711</v>
      </c>
      <c r="E245" s="51" t="s">
        <v>658</v>
      </c>
      <c r="F245" s="52">
        <v>2.1399999999999999E-2</v>
      </c>
      <c r="G245" s="49"/>
    </row>
    <row r="246" spans="2:7" s="22" customFormat="1" ht="18" customHeight="1">
      <c r="B246" s="49" t="s">
        <v>655</v>
      </c>
      <c r="C246" s="49" t="s">
        <v>701</v>
      </c>
      <c r="D246" s="50" t="s">
        <v>712</v>
      </c>
      <c r="E246" s="51" t="s">
        <v>658</v>
      </c>
      <c r="F246" s="52">
        <v>2.47E-2</v>
      </c>
      <c r="G246" s="49"/>
    </row>
    <row r="247" spans="2:7" s="22" customFormat="1" ht="18" customHeight="1">
      <c r="B247" s="49" t="s">
        <v>655</v>
      </c>
      <c r="C247" s="49" t="s">
        <v>713</v>
      </c>
      <c r="D247" s="50" t="s">
        <v>700</v>
      </c>
      <c r="E247" s="51" t="s">
        <v>658</v>
      </c>
      <c r="F247" s="52">
        <v>9.4129999999999995E-3</v>
      </c>
      <c r="G247" s="49"/>
    </row>
    <row r="248" spans="2:7" s="22" customFormat="1" ht="18" customHeight="1">
      <c r="B248" s="49" t="s">
        <v>655</v>
      </c>
      <c r="C248" s="49" t="s">
        <v>701</v>
      </c>
      <c r="D248" s="50" t="s">
        <v>714</v>
      </c>
      <c r="E248" s="51" t="s">
        <v>658</v>
      </c>
      <c r="F248" s="52">
        <v>2.18E-2</v>
      </c>
      <c r="G248" s="49"/>
    </row>
    <row r="249" spans="2:7" s="22" customFormat="1" ht="18" customHeight="1">
      <c r="B249" s="49" t="s">
        <v>655</v>
      </c>
      <c r="C249" s="49" t="s">
        <v>715</v>
      </c>
      <c r="D249" s="50" t="s">
        <v>716</v>
      </c>
      <c r="E249" s="51" t="s">
        <v>658</v>
      </c>
      <c r="F249" s="52">
        <v>1.11E-2</v>
      </c>
      <c r="G249" s="49"/>
    </row>
    <row r="250" spans="2:7" s="22" customFormat="1" ht="18" customHeight="1">
      <c r="B250" s="49" t="s">
        <v>655</v>
      </c>
      <c r="C250" s="49" t="s">
        <v>715</v>
      </c>
      <c r="D250" s="50" t="s">
        <v>717</v>
      </c>
      <c r="E250" s="51" t="s">
        <v>658</v>
      </c>
      <c r="F250" s="52">
        <v>4.7000000000000002E-3</v>
      </c>
      <c r="G250" s="49"/>
    </row>
    <row r="251" spans="2:7" s="22" customFormat="1" ht="18" customHeight="1">
      <c r="B251" s="49" t="s">
        <v>655</v>
      </c>
      <c r="C251" s="49" t="s">
        <v>715</v>
      </c>
      <c r="D251" s="50" t="s">
        <v>718</v>
      </c>
      <c r="E251" s="51" t="s">
        <v>658</v>
      </c>
      <c r="F251" s="52">
        <v>1.34E-2</v>
      </c>
      <c r="G251" s="49"/>
    </row>
    <row r="252" spans="2:7" s="22" customFormat="1" ht="18" customHeight="1">
      <c r="B252" s="49" t="s">
        <v>655</v>
      </c>
      <c r="C252" s="49" t="s">
        <v>715</v>
      </c>
      <c r="D252" s="50" t="s">
        <v>719</v>
      </c>
      <c r="E252" s="51" t="s">
        <v>658</v>
      </c>
      <c r="F252" s="52">
        <v>6.7000000000000002E-3</v>
      </c>
      <c r="G252" s="49"/>
    </row>
    <row r="253" spans="2:7" s="22" customFormat="1" ht="18" customHeight="1">
      <c r="B253" s="49" t="s">
        <v>655</v>
      </c>
      <c r="C253" s="49" t="s">
        <v>720</v>
      </c>
      <c r="D253" s="50" t="s">
        <v>700</v>
      </c>
      <c r="E253" s="51" t="s">
        <v>658</v>
      </c>
      <c r="F253" s="52">
        <v>5.8149999999999999E-3</v>
      </c>
      <c r="G253" s="49"/>
    </row>
    <row r="254" spans="2:7" s="22" customFormat="1" ht="18" customHeight="1">
      <c r="B254" s="49" t="s">
        <v>655</v>
      </c>
      <c r="C254" s="49" t="s">
        <v>715</v>
      </c>
      <c r="D254" s="50" t="s">
        <v>721</v>
      </c>
      <c r="E254" s="51" t="s">
        <v>658</v>
      </c>
      <c r="F254" s="52">
        <v>1.4200000000000001E-2</v>
      </c>
      <c r="G254" s="49"/>
    </row>
    <row r="255" spans="2:7" s="22" customFormat="1" ht="18" customHeight="1">
      <c r="B255" s="49" t="s">
        <v>655</v>
      </c>
      <c r="C255" s="49" t="s">
        <v>715</v>
      </c>
      <c r="D255" s="50" t="s">
        <v>722</v>
      </c>
      <c r="E255" s="51" t="s">
        <v>658</v>
      </c>
      <c r="F255" s="52">
        <v>7.1999999999999998E-3</v>
      </c>
      <c r="G255" s="49"/>
    </row>
    <row r="256" spans="2:7" s="22" customFormat="1" ht="18" customHeight="1">
      <c r="B256" s="49" t="s">
        <v>655</v>
      </c>
      <c r="C256" s="49" t="s">
        <v>723</v>
      </c>
      <c r="D256" s="50" t="s">
        <v>724</v>
      </c>
      <c r="E256" s="51" t="s">
        <v>658</v>
      </c>
      <c r="F256" s="52">
        <v>6.93E-2</v>
      </c>
      <c r="G256" s="49"/>
    </row>
    <row r="257" spans="2:7" s="22" customFormat="1" ht="18" customHeight="1">
      <c r="B257" s="49" t="s">
        <v>655</v>
      </c>
      <c r="C257" s="49" t="s">
        <v>723</v>
      </c>
      <c r="D257" s="50" t="s">
        <v>725</v>
      </c>
      <c r="E257" s="51" t="s">
        <v>658</v>
      </c>
      <c r="F257" s="52">
        <v>3.04E-2</v>
      </c>
      <c r="G257" s="49"/>
    </row>
    <row r="258" spans="2:7" s="22" customFormat="1" ht="18" customHeight="1">
      <c r="B258" s="49" t="s">
        <v>655</v>
      </c>
      <c r="C258" s="49" t="s">
        <v>723</v>
      </c>
      <c r="D258" s="50" t="s">
        <v>726</v>
      </c>
      <c r="E258" s="51" t="s">
        <v>658</v>
      </c>
      <c r="F258" s="52">
        <v>9.9000000000000005E-2</v>
      </c>
      <c r="G258" s="49"/>
    </row>
    <row r="259" spans="2:7" s="22" customFormat="1" ht="18" customHeight="1">
      <c r="B259" s="49" t="s">
        <v>655</v>
      </c>
      <c r="C259" s="49" t="s">
        <v>723</v>
      </c>
      <c r="D259" s="50" t="s">
        <v>727</v>
      </c>
      <c r="E259" s="51" t="s">
        <v>658</v>
      </c>
      <c r="F259" s="52">
        <v>3.5900000000000001E-2</v>
      </c>
      <c r="G259" s="49"/>
    </row>
    <row r="260" spans="2:7" s="22" customFormat="1" ht="18" customHeight="1">
      <c r="B260" s="49" t="s">
        <v>655</v>
      </c>
      <c r="C260" s="49" t="s">
        <v>723</v>
      </c>
      <c r="D260" s="50" t="s">
        <v>728</v>
      </c>
      <c r="E260" s="51" t="s">
        <v>658</v>
      </c>
      <c r="F260" s="52">
        <v>3.0700000000000002E-2</v>
      </c>
      <c r="G260" s="49"/>
    </row>
    <row r="261" spans="2:7" s="22" customFormat="1" ht="18" customHeight="1">
      <c r="B261" s="49" t="s">
        <v>655</v>
      </c>
      <c r="C261" s="49" t="s">
        <v>723</v>
      </c>
      <c r="D261" s="50" t="s">
        <v>729</v>
      </c>
      <c r="E261" s="51" t="s">
        <v>658</v>
      </c>
      <c r="F261" s="52">
        <v>2.4500000000000001E-2</v>
      </c>
      <c r="G261" s="49"/>
    </row>
    <row r="262" spans="2:7" s="22" customFormat="1" ht="18" customHeight="1">
      <c r="B262" s="49" t="s">
        <v>655</v>
      </c>
      <c r="C262" s="49" t="s">
        <v>723</v>
      </c>
      <c r="D262" s="50" t="s">
        <v>730</v>
      </c>
      <c r="E262" s="51" t="s">
        <v>658</v>
      </c>
      <c r="F262" s="52">
        <v>2.0899999999999998E-2</v>
      </c>
      <c r="G262" s="49"/>
    </row>
    <row r="263" spans="2:7" s="22" customFormat="1" ht="18" customHeight="1">
      <c r="B263" s="49" t="s">
        <v>655</v>
      </c>
      <c r="C263" s="49" t="s">
        <v>723</v>
      </c>
      <c r="D263" s="50" t="s">
        <v>731</v>
      </c>
      <c r="E263" s="51" t="s">
        <v>658</v>
      </c>
      <c r="F263" s="52">
        <v>2.18E-2</v>
      </c>
      <c r="G263" s="49"/>
    </row>
    <row r="264" spans="2:7" s="22" customFormat="1" ht="18" customHeight="1">
      <c r="B264" s="49" t="s">
        <v>655</v>
      </c>
      <c r="C264" s="49" t="s">
        <v>723</v>
      </c>
      <c r="D264" s="50" t="s">
        <v>732</v>
      </c>
      <c r="E264" s="51" t="s">
        <v>658</v>
      </c>
      <c r="F264" s="52">
        <v>2.24E-2</v>
      </c>
      <c r="G264" s="49"/>
    </row>
    <row r="265" spans="2:7" s="22" customFormat="1" ht="18" customHeight="1">
      <c r="B265" s="49" t="s">
        <v>655</v>
      </c>
      <c r="C265" s="49" t="s">
        <v>723</v>
      </c>
      <c r="D265" s="50" t="s">
        <v>733</v>
      </c>
      <c r="E265" s="51" t="s">
        <v>658</v>
      </c>
      <c r="F265" s="52">
        <v>1.1299999999999999E-2</v>
      </c>
      <c r="G265" s="49"/>
    </row>
    <row r="266" spans="2:7" s="22" customFormat="1" ht="18" customHeight="1">
      <c r="B266" s="49" t="s">
        <v>655</v>
      </c>
      <c r="C266" s="49" t="s">
        <v>723</v>
      </c>
      <c r="D266" s="50" t="s">
        <v>734</v>
      </c>
      <c r="E266" s="51" t="s">
        <v>658</v>
      </c>
      <c r="F266" s="52">
        <v>9.7999999999999997E-3</v>
      </c>
      <c r="G266" s="49"/>
    </row>
    <row r="267" spans="2:7" s="22" customFormat="1" ht="18" customHeight="1">
      <c r="B267" s="49" t="s">
        <v>655</v>
      </c>
      <c r="C267" s="49" t="s">
        <v>723</v>
      </c>
      <c r="D267" s="50" t="s">
        <v>735</v>
      </c>
      <c r="E267" s="51" t="s">
        <v>658</v>
      </c>
      <c r="F267" s="52">
        <v>2.0799999999999999E-2</v>
      </c>
      <c r="G267" s="49"/>
    </row>
    <row r="268" spans="2:7" s="22" customFormat="1" ht="18" customHeight="1">
      <c r="B268" s="49" t="s">
        <v>655</v>
      </c>
      <c r="C268" s="49" t="s">
        <v>723</v>
      </c>
      <c r="D268" s="50" t="s">
        <v>736</v>
      </c>
      <c r="E268" s="51" t="s">
        <v>658</v>
      </c>
      <c r="F268" s="52">
        <v>9.7999999999999997E-3</v>
      </c>
      <c r="G268" s="49"/>
    </row>
    <row r="269" spans="2:7" s="22" customFormat="1" ht="18" customHeight="1">
      <c r="B269" s="49" t="s">
        <v>655</v>
      </c>
      <c r="C269" s="49" t="s">
        <v>723</v>
      </c>
      <c r="D269" s="50" t="s">
        <v>737</v>
      </c>
      <c r="E269" s="51" t="s">
        <v>658</v>
      </c>
      <c r="F269" s="52">
        <v>7.1999999999999998E-3</v>
      </c>
      <c r="G269" s="49"/>
    </row>
    <row r="270" spans="2:7" s="22" customFormat="1" ht="18" customHeight="1">
      <c r="B270" s="49" t="s">
        <v>655</v>
      </c>
      <c r="C270" s="49" t="s">
        <v>723</v>
      </c>
      <c r="D270" s="50" t="s">
        <v>738</v>
      </c>
      <c r="E270" s="51" t="s">
        <v>658</v>
      </c>
      <c r="F270" s="52">
        <v>4.3999999999999997E-2</v>
      </c>
      <c r="G270" s="49"/>
    </row>
    <row r="271" spans="2:7" s="22" customFormat="1" ht="18" customHeight="1">
      <c r="B271" s="49" t="s">
        <v>655</v>
      </c>
      <c r="C271" s="49" t="s">
        <v>723</v>
      </c>
      <c r="D271" s="50" t="s">
        <v>739</v>
      </c>
      <c r="E271" s="51" t="s">
        <v>658</v>
      </c>
      <c r="F271" s="52">
        <v>5.8999999999999999E-3</v>
      </c>
      <c r="G271" s="49"/>
    </row>
    <row r="272" spans="2:7" s="22" customFormat="1" ht="18" customHeight="1">
      <c r="B272" s="49" t="s">
        <v>655</v>
      </c>
      <c r="C272" s="49" t="s">
        <v>723</v>
      </c>
      <c r="D272" s="50" t="s">
        <v>740</v>
      </c>
      <c r="E272" s="51" t="s">
        <v>658</v>
      </c>
      <c r="F272" s="52">
        <v>9.2999999999999992E-3</v>
      </c>
      <c r="G272" s="49"/>
    </row>
    <row r="273" spans="2:7" s="22" customFormat="1" ht="18" customHeight="1">
      <c r="B273" s="49" t="s">
        <v>655</v>
      </c>
      <c r="C273" s="49" t="s">
        <v>723</v>
      </c>
      <c r="D273" s="50" t="s">
        <v>741</v>
      </c>
      <c r="E273" s="51" t="s">
        <v>658</v>
      </c>
      <c r="F273" s="52">
        <v>4.0000000000000001E-3</v>
      </c>
      <c r="G273" s="49"/>
    </row>
    <row r="274" spans="2:7" s="22" customFormat="1" ht="18" customHeight="1">
      <c r="B274" s="49" t="s">
        <v>655</v>
      </c>
      <c r="C274" s="49" t="s">
        <v>723</v>
      </c>
      <c r="D274" s="50" t="s">
        <v>742</v>
      </c>
      <c r="E274" s="51" t="s">
        <v>658</v>
      </c>
      <c r="F274" s="52">
        <v>3.5999999999999999E-3</v>
      </c>
      <c r="G274" s="49"/>
    </row>
    <row r="275" spans="2:7" s="22" customFormat="1" ht="18" customHeight="1">
      <c r="B275" s="49" t="s">
        <v>655</v>
      </c>
      <c r="C275" s="49" t="s">
        <v>723</v>
      </c>
      <c r="D275" s="50" t="s">
        <v>743</v>
      </c>
      <c r="E275" s="51" t="s">
        <v>658</v>
      </c>
      <c r="F275" s="52">
        <v>4.1999999999999997E-3</v>
      </c>
      <c r="G275" s="49"/>
    </row>
    <row r="276" spans="2:7" s="22" customFormat="1" ht="18" customHeight="1">
      <c r="B276" s="49" t="s">
        <v>744</v>
      </c>
      <c r="C276" s="49" t="s">
        <v>745</v>
      </c>
      <c r="D276" s="50" t="s">
        <v>746</v>
      </c>
      <c r="E276" s="51" t="s">
        <v>747</v>
      </c>
      <c r="F276" s="52">
        <v>0.432</v>
      </c>
      <c r="G276" s="49"/>
    </row>
    <row r="277" spans="2:7" s="22" customFormat="1" ht="18" customHeight="1">
      <c r="B277" s="49" t="s">
        <v>744</v>
      </c>
      <c r="C277" s="49" t="s">
        <v>748</v>
      </c>
      <c r="D277" s="50" t="s">
        <v>749</v>
      </c>
      <c r="E277" s="51" t="s">
        <v>157</v>
      </c>
      <c r="F277" s="52">
        <v>430</v>
      </c>
      <c r="G277" s="49"/>
    </row>
    <row r="278" spans="2:7" s="22" customFormat="1" ht="18" customHeight="1">
      <c r="B278" s="49" t="s">
        <v>744</v>
      </c>
      <c r="C278" s="49" t="s">
        <v>748</v>
      </c>
      <c r="D278" s="50" t="s">
        <v>750</v>
      </c>
      <c r="E278" s="51" t="s">
        <v>157</v>
      </c>
      <c r="F278" s="52">
        <v>400</v>
      </c>
      <c r="G278" s="49"/>
    </row>
    <row r="279" spans="2:7" s="22" customFormat="1" ht="18" customHeight="1">
      <c r="B279" s="49" t="s">
        <v>744</v>
      </c>
      <c r="C279" s="49" t="s">
        <v>751</v>
      </c>
      <c r="D279" s="50" t="s">
        <v>752</v>
      </c>
      <c r="E279" s="51" t="s">
        <v>157</v>
      </c>
      <c r="F279" s="52">
        <v>240</v>
      </c>
      <c r="G279" s="49"/>
    </row>
    <row r="280" spans="2:7" s="22" customFormat="1" ht="18" customHeight="1">
      <c r="B280" s="49" t="s">
        <v>744</v>
      </c>
      <c r="C280" s="49" t="s">
        <v>753</v>
      </c>
      <c r="D280" s="50" t="s">
        <v>754</v>
      </c>
      <c r="E280" s="51" t="s">
        <v>157</v>
      </c>
      <c r="F280" s="52">
        <v>53.7</v>
      </c>
      <c r="G280" s="49"/>
    </row>
    <row r="281" spans="2:7" s="22" customFormat="1" ht="18" customHeight="1">
      <c r="B281" s="49" t="s">
        <v>744</v>
      </c>
      <c r="C281" s="49" t="s">
        <v>753</v>
      </c>
      <c r="D281" s="50" t="s">
        <v>755</v>
      </c>
      <c r="E281" s="51" t="s">
        <v>157</v>
      </c>
      <c r="F281" s="52">
        <v>138</v>
      </c>
      <c r="G281" s="49"/>
    </row>
    <row r="282" spans="2:7" ht="18" customHeight="1">
      <c r="B282" s="49" t="s">
        <v>744</v>
      </c>
      <c r="C282" s="49" t="s">
        <v>753</v>
      </c>
      <c r="D282" s="50" t="s">
        <v>756</v>
      </c>
      <c r="E282" s="51" t="s">
        <v>157</v>
      </c>
      <c r="F282" s="52">
        <v>258</v>
      </c>
      <c r="G282" s="49"/>
    </row>
    <row r="283" spans="2:7" ht="18" customHeight="1">
      <c r="B283" s="49" t="s">
        <v>744</v>
      </c>
      <c r="C283" s="49" t="s">
        <v>757</v>
      </c>
      <c r="D283" s="50" t="s">
        <v>756</v>
      </c>
      <c r="E283" s="51" t="s">
        <v>157</v>
      </c>
      <c r="F283" s="52">
        <v>197.66</v>
      </c>
      <c r="G283" s="49"/>
    </row>
    <row r="284" spans="2:7" ht="18" customHeight="1">
      <c r="B284" s="49" t="s">
        <v>744</v>
      </c>
      <c r="C284" s="49" t="s">
        <v>758</v>
      </c>
      <c r="D284" s="50" t="s">
        <v>759</v>
      </c>
      <c r="E284" s="51" t="s">
        <v>157</v>
      </c>
      <c r="F284" s="52">
        <v>1160</v>
      </c>
      <c r="G284" s="49"/>
    </row>
    <row r="285" spans="2:7" ht="18" customHeight="1">
      <c r="B285" s="49" t="s">
        <v>744</v>
      </c>
      <c r="C285" s="49" t="s">
        <v>758</v>
      </c>
      <c r="D285" s="50" t="s">
        <v>760</v>
      </c>
      <c r="E285" s="51" t="s">
        <v>157</v>
      </c>
      <c r="F285" s="52">
        <v>584.98</v>
      </c>
      <c r="G285" s="49"/>
    </row>
    <row r="286" spans="2:7" ht="18" customHeight="1">
      <c r="B286" s="49" t="s">
        <v>744</v>
      </c>
      <c r="C286" s="49" t="s">
        <v>761</v>
      </c>
      <c r="D286" s="50" t="s">
        <v>759</v>
      </c>
      <c r="E286" s="51" t="s">
        <v>157</v>
      </c>
      <c r="F286" s="52">
        <v>3140</v>
      </c>
      <c r="G286" s="49"/>
    </row>
    <row r="287" spans="2:7" ht="18" customHeight="1">
      <c r="B287" s="49" t="s">
        <v>744</v>
      </c>
      <c r="C287" s="49" t="s">
        <v>762</v>
      </c>
      <c r="D287" s="50" t="s">
        <v>759</v>
      </c>
      <c r="E287" s="51" t="s">
        <v>157</v>
      </c>
      <c r="F287" s="52">
        <v>3140</v>
      </c>
      <c r="G287" s="49"/>
    </row>
    <row r="288" spans="2:7" ht="18" customHeight="1">
      <c r="B288" s="49" t="s">
        <v>744</v>
      </c>
      <c r="C288" s="49" t="s">
        <v>763</v>
      </c>
      <c r="D288" s="50" t="s">
        <v>759</v>
      </c>
      <c r="E288" s="51" t="s">
        <v>157</v>
      </c>
      <c r="F288" s="52">
        <v>1620</v>
      </c>
      <c r="G288" s="49"/>
    </row>
    <row r="289" spans="2:7" ht="18" customHeight="1">
      <c r="B289" s="49" t="s">
        <v>744</v>
      </c>
      <c r="C289" s="49" t="s">
        <v>764</v>
      </c>
      <c r="D289" s="50" t="s">
        <v>759</v>
      </c>
      <c r="E289" s="51" t="s">
        <v>157</v>
      </c>
      <c r="F289" s="52">
        <v>1470</v>
      </c>
      <c r="G289" s="49"/>
    </row>
    <row r="290" spans="2:7" ht="18" customHeight="1">
      <c r="B290" s="49" t="s">
        <v>765</v>
      </c>
      <c r="C290" s="49" t="s">
        <v>766</v>
      </c>
      <c r="D290" s="50" t="s">
        <v>767</v>
      </c>
      <c r="E290" s="51" t="s">
        <v>768</v>
      </c>
      <c r="F290" s="52">
        <v>4.5359999999999998E-2</v>
      </c>
      <c r="G290" s="49"/>
    </row>
    <row r="291" spans="2:7" ht="18" customHeight="1">
      <c r="B291" s="49" t="s">
        <v>765</v>
      </c>
      <c r="C291" s="49" t="s">
        <v>769</v>
      </c>
      <c r="D291" s="50" t="s">
        <v>392</v>
      </c>
      <c r="E291" s="51" t="s">
        <v>768</v>
      </c>
      <c r="F291" s="52">
        <v>8.8000000000000005E-3</v>
      </c>
      <c r="G291" s="49"/>
    </row>
    <row r="292" spans="2:7" ht="18" customHeight="1">
      <c r="B292" s="49" t="s">
        <v>765</v>
      </c>
      <c r="C292" s="49" t="s">
        <v>770</v>
      </c>
      <c r="D292" s="50" t="s">
        <v>767</v>
      </c>
      <c r="E292" s="51" t="s">
        <v>768</v>
      </c>
      <c r="F292" s="52">
        <v>9.4700000000000006E-2</v>
      </c>
      <c r="G292" s="49"/>
    </row>
    <row r="293" spans="2:7" ht="18" customHeight="1">
      <c r="B293" s="49" t="s">
        <v>765</v>
      </c>
      <c r="C293" s="49" t="s">
        <v>770</v>
      </c>
      <c r="D293" s="50" t="s">
        <v>171</v>
      </c>
      <c r="E293" s="51" t="s">
        <v>768</v>
      </c>
      <c r="F293" s="52">
        <v>0.1988</v>
      </c>
      <c r="G293" s="49"/>
    </row>
    <row r="294" spans="2:7" ht="18" customHeight="1">
      <c r="B294" s="49" t="s">
        <v>765</v>
      </c>
      <c r="C294" s="49" t="s">
        <v>770</v>
      </c>
      <c r="D294" s="50" t="s">
        <v>392</v>
      </c>
      <c r="E294" s="51" t="s">
        <v>768</v>
      </c>
      <c r="F294" s="52">
        <v>7.9100000000000004E-2</v>
      </c>
      <c r="G294" s="49"/>
    </row>
    <row r="295" spans="2:7" ht="18" customHeight="1">
      <c r="B295" s="49" t="s">
        <v>765</v>
      </c>
      <c r="C295" s="49" t="s">
        <v>771</v>
      </c>
      <c r="D295" s="50" t="s">
        <v>175</v>
      </c>
      <c r="E295" s="51" t="s">
        <v>768</v>
      </c>
      <c r="F295" s="52">
        <v>4.4999999999999998E-2</v>
      </c>
      <c r="G295" s="49"/>
    </row>
    <row r="296" spans="2:7" ht="18" customHeight="1">
      <c r="B296" s="49" t="s">
        <v>765</v>
      </c>
      <c r="C296" s="49" t="s">
        <v>771</v>
      </c>
      <c r="D296" s="50" t="s">
        <v>171</v>
      </c>
      <c r="E296" s="51" t="s">
        <v>768</v>
      </c>
      <c r="F296" s="52">
        <v>4.1000000000000002E-2</v>
      </c>
      <c r="G296" s="49"/>
    </row>
    <row r="297" spans="2:7" ht="18" customHeight="1">
      <c r="B297" s="49" t="s">
        <v>765</v>
      </c>
      <c r="C297" s="49" t="s">
        <v>771</v>
      </c>
      <c r="D297" s="50" t="s">
        <v>392</v>
      </c>
      <c r="E297" s="51" t="s">
        <v>768</v>
      </c>
      <c r="F297" s="52">
        <v>1.6959999999999999E-2</v>
      </c>
      <c r="G297" s="49"/>
    </row>
    <row r="298" spans="2:7" ht="18" customHeight="1">
      <c r="B298" s="49" t="s">
        <v>765</v>
      </c>
      <c r="C298" s="49" t="s">
        <v>772</v>
      </c>
      <c r="D298" s="50" t="s">
        <v>392</v>
      </c>
      <c r="E298" s="51" t="s">
        <v>768</v>
      </c>
      <c r="F298" s="52">
        <v>1.2E-2</v>
      </c>
      <c r="G298" s="49"/>
    </row>
    <row r="299" spans="2:7" ht="18" customHeight="1">
      <c r="B299" s="49" t="s">
        <v>765</v>
      </c>
      <c r="C299" s="49" t="s">
        <v>773</v>
      </c>
      <c r="D299" s="50" t="s">
        <v>767</v>
      </c>
      <c r="E299" s="51" t="s">
        <v>768</v>
      </c>
      <c r="F299" s="52">
        <v>6.2E-2</v>
      </c>
      <c r="G299" s="49"/>
    </row>
    <row r="300" spans="2:7" ht="18" customHeight="1">
      <c r="B300" s="49" t="s">
        <v>765</v>
      </c>
      <c r="C300" s="49" t="s">
        <v>774</v>
      </c>
      <c r="D300" s="50" t="s">
        <v>767</v>
      </c>
      <c r="E300" s="51" t="s">
        <v>768</v>
      </c>
      <c r="F300" s="52">
        <v>7.1999999999999998E-3</v>
      </c>
      <c r="G300" s="49"/>
    </row>
    <row r="301" spans="2:7" ht="18" customHeight="1">
      <c r="B301" s="49" t="s">
        <v>765</v>
      </c>
      <c r="C301" s="49" t="s">
        <v>775</v>
      </c>
      <c r="D301" s="50" t="s">
        <v>392</v>
      </c>
      <c r="E301" s="51" t="s">
        <v>768</v>
      </c>
      <c r="F301" s="52">
        <v>4.3139999999999998E-2</v>
      </c>
      <c r="G301" s="49"/>
    </row>
    <row r="302" spans="2:7" ht="18" customHeight="1">
      <c r="B302" s="49" t="s">
        <v>765</v>
      </c>
      <c r="C302" s="49" t="s">
        <v>776</v>
      </c>
      <c r="D302" s="50" t="s">
        <v>777</v>
      </c>
      <c r="E302" s="51" t="s">
        <v>768</v>
      </c>
      <c r="F302" s="52">
        <v>3.2666666666666698E-2</v>
      </c>
      <c r="G302" s="49"/>
    </row>
    <row r="303" spans="2:7" ht="18" customHeight="1">
      <c r="B303" s="49" t="s">
        <v>765</v>
      </c>
      <c r="C303" s="49" t="s">
        <v>778</v>
      </c>
      <c r="D303" s="50" t="s">
        <v>392</v>
      </c>
      <c r="E303" s="51" t="s">
        <v>768</v>
      </c>
      <c r="F303" s="52">
        <v>2.0199999999999999E-2</v>
      </c>
      <c r="G303" s="49"/>
    </row>
    <row r="304" spans="2:7" ht="18" customHeight="1">
      <c r="B304" s="49" t="s">
        <v>765</v>
      </c>
      <c r="C304" s="49" t="s">
        <v>779</v>
      </c>
      <c r="D304" s="50" t="s">
        <v>780</v>
      </c>
      <c r="E304" s="51" t="s">
        <v>768</v>
      </c>
      <c r="F304" s="52">
        <v>8.9277777777777803E-2</v>
      </c>
      <c r="G304" s="49"/>
    </row>
    <row r="305" spans="2:7" ht="18" customHeight="1">
      <c r="B305" s="49" t="s">
        <v>765</v>
      </c>
      <c r="C305" s="49" t="s">
        <v>781</v>
      </c>
      <c r="D305" s="50" t="s">
        <v>782</v>
      </c>
      <c r="E305" s="51" t="s">
        <v>768</v>
      </c>
      <c r="F305" s="52">
        <v>9.4446000000000002E-2</v>
      </c>
      <c r="G305" s="49"/>
    </row>
    <row r="306" spans="2:7" ht="18" customHeight="1">
      <c r="B306" s="49" t="s">
        <v>765</v>
      </c>
      <c r="C306" s="49" t="s">
        <v>783</v>
      </c>
      <c r="D306" s="50" t="s">
        <v>784</v>
      </c>
      <c r="E306" s="51" t="s">
        <v>768</v>
      </c>
      <c r="F306" s="52">
        <v>9.1200000000000003E-2</v>
      </c>
      <c r="G306" s="49"/>
    </row>
    <row r="307" spans="2:7" ht="18" customHeight="1">
      <c r="B307" s="49" t="s">
        <v>765</v>
      </c>
      <c r="C307" s="49" t="s">
        <v>785</v>
      </c>
      <c r="D307" s="50" t="s">
        <v>784</v>
      </c>
      <c r="E307" s="51" t="s">
        <v>768</v>
      </c>
      <c r="F307" s="52">
        <v>9.1200000000000003E-2</v>
      </c>
      <c r="G307" s="49"/>
    </row>
    <row r="308" spans="2:7" ht="18" customHeight="1">
      <c r="B308" s="49" t="s">
        <v>765</v>
      </c>
      <c r="C308" s="49" t="s">
        <v>786</v>
      </c>
      <c r="D308" s="50" t="s">
        <v>787</v>
      </c>
      <c r="E308" s="51" t="s">
        <v>768</v>
      </c>
      <c r="F308" s="52">
        <v>0.16200000000000001</v>
      </c>
      <c r="G308" s="49"/>
    </row>
    <row r="309" spans="2:7" ht="18" customHeight="1">
      <c r="B309" s="49" t="s">
        <v>765</v>
      </c>
      <c r="C309" s="49" t="s">
        <v>788</v>
      </c>
      <c r="D309" s="50" t="s">
        <v>789</v>
      </c>
      <c r="E309" s="51" t="s">
        <v>790</v>
      </c>
      <c r="F309" s="53">
        <v>53.4</v>
      </c>
      <c r="G309" s="49"/>
    </row>
    <row r="310" spans="2:7" ht="18" customHeight="1">
      <c r="B310" s="49" t="s">
        <v>765</v>
      </c>
      <c r="C310" s="49" t="s">
        <v>788</v>
      </c>
      <c r="D310" s="50" t="s">
        <v>791</v>
      </c>
      <c r="E310" s="51" t="s">
        <v>790</v>
      </c>
      <c r="F310" s="53">
        <v>51.5</v>
      </c>
      <c r="G310" s="49"/>
    </row>
    <row r="311" spans="2:7" ht="18" customHeight="1">
      <c r="B311" s="49" t="s">
        <v>765</v>
      </c>
      <c r="C311" s="49" t="s">
        <v>788</v>
      </c>
      <c r="D311" s="50" t="s">
        <v>443</v>
      </c>
      <c r="E311" s="51" t="s">
        <v>790</v>
      </c>
      <c r="F311" s="52">
        <v>45.4</v>
      </c>
      <c r="G311" s="49"/>
    </row>
    <row r="312" spans="2:7" ht="18" customHeight="1">
      <c r="B312" s="54" t="s">
        <v>765</v>
      </c>
      <c r="C312" s="54" t="s">
        <v>788</v>
      </c>
      <c r="D312" s="55" t="s">
        <v>444</v>
      </c>
      <c r="E312" s="56" t="s">
        <v>790</v>
      </c>
      <c r="F312" s="57">
        <v>41.3</v>
      </c>
      <c r="G312" s="54"/>
    </row>
  </sheetData>
  <autoFilter ref="A11:XEZ313" xr:uid="{00000000-0009-0000-0000-000004000000}"/>
  <mergeCells count="4">
    <mergeCell ref="B2:E2"/>
    <mergeCell ref="B3:E3"/>
    <mergeCell ref="B4:E4"/>
    <mergeCell ref="B9:E9"/>
  </mergeCells>
  <phoneticPr fontId="40" type="noConversion"/>
  <pageMargins left="0.75" right="0.75" top="1" bottom="1" header="0.5" footer="0.5"/>
  <headerFooter>
    <oddFooter>&amp;L_x000D_&amp;1#&amp;"Aptos"&amp;10&amp;K000000 NSF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X84"/>
  <sheetViews>
    <sheetView zoomScale="80" zoomScaleNormal="80" workbookViewId="0"/>
  </sheetViews>
  <sheetFormatPr defaultColWidth="9" defaultRowHeight="18" customHeight="1"/>
  <cols>
    <col min="1" max="1" width="3.61328125" style="1" customWidth="1"/>
    <col min="2" max="2" width="18" style="1" customWidth="1"/>
    <col min="3" max="3" width="38" style="1" customWidth="1"/>
    <col min="4" max="4" width="18" style="1" customWidth="1"/>
    <col min="5" max="5" width="42" style="1" customWidth="1"/>
    <col min="6" max="16384" width="9" style="1"/>
  </cols>
  <sheetData>
    <row r="2" spans="2:5" ht="36" customHeight="1">
      <c r="B2" s="133" t="s">
        <v>792</v>
      </c>
      <c r="C2" s="133"/>
      <c r="D2" s="133"/>
      <c r="E2" s="133"/>
    </row>
    <row r="3" spans="2:5" ht="18" customHeight="1">
      <c r="B3" s="134"/>
      <c r="C3" s="134"/>
      <c r="D3" s="134"/>
      <c r="E3" s="134"/>
    </row>
    <row r="4" spans="2:5" ht="18" customHeight="1">
      <c r="B4" s="131" t="s">
        <v>793</v>
      </c>
      <c r="C4" s="131"/>
      <c r="D4" s="131"/>
      <c r="E4" s="131"/>
    </row>
    <row r="6" spans="2:5" ht="18" customHeight="1">
      <c r="B6" s="128" t="s">
        <v>154</v>
      </c>
      <c r="C6" s="128" t="s">
        <v>7</v>
      </c>
      <c r="D6" s="128" t="s">
        <v>7</v>
      </c>
      <c r="E6" s="128" t="s">
        <v>7</v>
      </c>
    </row>
    <row r="7" spans="2:5" ht="18" customHeight="1">
      <c r="B7" s="126" t="s">
        <v>794</v>
      </c>
      <c r="C7" s="126"/>
      <c r="D7" s="126"/>
      <c r="E7" s="126"/>
    </row>
    <row r="8" spans="2:5" ht="51" customHeight="1">
      <c r="B8" s="127" t="s">
        <v>795</v>
      </c>
      <c r="C8" s="127"/>
      <c r="D8" s="127"/>
      <c r="E8" s="127"/>
    </row>
    <row r="9" spans="2:5" ht="18" customHeight="1">
      <c r="B9" s="126" t="s">
        <v>796</v>
      </c>
      <c r="C9" s="126"/>
      <c r="D9" s="126"/>
      <c r="E9" s="126"/>
    </row>
    <row r="10" spans="2:5" ht="76" customHeight="1">
      <c r="B10" s="129" t="s">
        <v>797</v>
      </c>
      <c r="C10" s="129"/>
      <c r="D10" s="129"/>
      <c r="E10" s="129"/>
    </row>
    <row r="12" spans="2:5" ht="18" customHeight="1">
      <c r="B12" s="128" t="s">
        <v>79</v>
      </c>
      <c r="C12" s="128" t="s">
        <v>13</v>
      </c>
      <c r="D12" s="128" t="s">
        <v>13</v>
      </c>
      <c r="E12" s="128" t="s">
        <v>13</v>
      </c>
    </row>
    <row r="13" spans="2:5" ht="18" customHeight="1">
      <c r="B13" s="126" t="s">
        <v>798</v>
      </c>
      <c r="C13" s="126"/>
      <c r="D13" s="126"/>
      <c r="E13" s="126"/>
    </row>
    <row r="14" spans="2:5" ht="41.05" customHeight="1">
      <c r="B14" s="127" t="s">
        <v>799</v>
      </c>
      <c r="C14" s="127"/>
      <c r="D14" s="127"/>
      <c r="E14" s="127"/>
    </row>
    <row r="15" spans="2:5" ht="18" customHeight="1">
      <c r="B15" s="126" t="s">
        <v>800</v>
      </c>
      <c r="C15" s="126"/>
      <c r="D15" s="126"/>
      <c r="E15" s="126"/>
    </row>
    <row r="16" spans="2:5" ht="41.05" customHeight="1">
      <c r="B16" s="129" t="s">
        <v>801</v>
      </c>
      <c r="C16" s="129"/>
      <c r="D16" s="129"/>
      <c r="E16" s="129"/>
    </row>
    <row r="18" spans="2:5" ht="18" customHeight="1">
      <c r="B18" s="128" t="s">
        <v>241</v>
      </c>
      <c r="C18" s="128" t="s">
        <v>17</v>
      </c>
      <c r="D18" s="128" t="s">
        <v>17</v>
      </c>
      <c r="E18" s="128" t="s">
        <v>17</v>
      </c>
    </row>
    <row r="19" spans="2:5" ht="18" customHeight="1">
      <c r="B19" s="126" t="s">
        <v>802</v>
      </c>
      <c r="C19" s="126"/>
      <c r="D19" s="126"/>
      <c r="E19" s="126"/>
    </row>
    <row r="20" spans="2:5" ht="36" customHeight="1">
      <c r="B20" s="127" t="s">
        <v>803</v>
      </c>
      <c r="C20" s="127"/>
      <c r="D20" s="127"/>
      <c r="E20" s="127"/>
    </row>
    <row r="21" spans="2:5" ht="18" customHeight="1">
      <c r="B21" s="126" t="s">
        <v>804</v>
      </c>
      <c r="C21" s="126"/>
      <c r="D21" s="126"/>
      <c r="E21" s="126"/>
    </row>
    <row r="22" spans="2:5" ht="38.049999999999997" customHeight="1">
      <c r="B22" s="127" t="s">
        <v>805</v>
      </c>
      <c r="C22" s="127"/>
      <c r="D22" s="127"/>
      <c r="E22" s="127"/>
    </row>
    <row r="23" spans="2:5" ht="35.049999999999997" customHeight="1">
      <c r="B23" s="127" t="s">
        <v>806</v>
      </c>
      <c r="C23" s="127"/>
      <c r="D23" s="127"/>
      <c r="E23" s="127"/>
    </row>
    <row r="24" spans="2:5" ht="51" customHeight="1">
      <c r="B24" s="127" t="s">
        <v>807</v>
      </c>
      <c r="C24" s="127"/>
      <c r="D24" s="127"/>
      <c r="E24" s="127"/>
    </row>
    <row r="25" spans="2:5" ht="49" customHeight="1">
      <c r="B25" s="127" t="s">
        <v>808</v>
      </c>
      <c r="C25" s="127"/>
      <c r="D25" s="127"/>
      <c r="E25" s="127"/>
    </row>
    <row r="26" spans="2:5" ht="18" customHeight="1">
      <c r="B26" s="18"/>
      <c r="C26" s="18"/>
      <c r="D26" s="18"/>
      <c r="E26" s="18"/>
    </row>
    <row r="27" spans="2:5" ht="18" customHeight="1">
      <c r="B27" s="128" t="s">
        <v>809</v>
      </c>
      <c r="C27" s="128" t="s">
        <v>26</v>
      </c>
      <c r="D27" s="128" t="s">
        <v>26</v>
      </c>
      <c r="E27" s="128" t="s">
        <v>26</v>
      </c>
    </row>
    <row r="28" spans="2:5" ht="18" customHeight="1">
      <c r="B28" s="126" t="s">
        <v>810</v>
      </c>
      <c r="C28" s="126" t="s">
        <v>28</v>
      </c>
      <c r="D28" s="126" t="s">
        <v>28</v>
      </c>
      <c r="E28" s="126" t="s">
        <v>28</v>
      </c>
    </row>
    <row r="29" spans="2:5" ht="36" customHeight="1">
      <c r="B29" s="127" t="s">
        <v>811</v>
      </c>
      <c r="C29" s="127" t="s">
        <v>30</v>
      </c>
      <c r="D29" s="127" t="s">
        <v>30</v>
      </c>
      <c r="E29" s="127" t="s">
        <v>30</v>
      </c>
    </row>
    <row r="30" spans="2:5" ht="39" customHeight="1">
      <c r="B30" s="127" t="s">
        <v>812</v>
      </c>
      <c r="C30" s="127" t="s">
        <v>32</v>
      </c>
      <c r="D30" s="127" t="s">
        <v>32</v>
      </c>
      <c r="E30" s="127" t="s">
        <v>32</v>
      </c>
    </row>
    <row r="32" spans="2:5" ht="18" customHeight="1">
      <c r="B32" s="131" t="s">
        <v>813</v>
      </c>
      <c r="C32" s="131"/>
      <c r="D32" s="131"/>
      <c r="E32" s="131"/>
    </row>
    <row r="34" spans="2:5" ht="18" customHeight="1">
      <c r="B34" s="128" t="s">
        <v>814</v>
      </c>
      <c r="C34" s="128" t="s">
        <v>26</v>
      </c>
      <c r="D34" s="128" t="s">
        <v>26</v>
      </c>
      <c r="E34" s="128" t="s">
        <v>26</v>
      </c>
    </row>
    <row r="35" spans="2:5" ht="18" customHeight="1">
      <c r="B35" s="126" t="s">
        <v>815</v>
      </c>
      <c r="C35" s="126" t="s">
        <v>28</v>
      </c>
      <c r="D35" s="126" t="s">
        <v>28</v>
      </c>
      <c r="E35" s="126" t="s">
        <v>28</v>
      </c>
    </row>
    <row r="36" spans="2:5" ht="36" customHeight="1">
      <c r="B36" s="127" t="s">
        <v>816</v>
      </c>
      <c r="C36" s="127"/>
      <c r="D36" s="127"/>
      <c r="E36" s="127"/>
    </row>
    <row r="37" spans="2:5" ht="18" customHeight="1">
      <c r="B37" s="126" t="s">
        <v>817</v>
      </c>
      <c r="C37" s="126" t="s">
        <v>28</v>
      </c>
      <c r="D37" s="126" t="s">
        <v>28</v>
      </c>
      <c r="E37" s="126" t="s">
        <v>28</v>
      </c>
    </row>
    <row r="38" spans="2:5" ht="18" customHeight="1">
      <c r="B38" s="1" t="s">
        <v>818</v>
      </c>
      <c r="C38" s="18"/>
      <c r="D38" s="18"/>
      <c r="E38" s="18"/>
    </row>
    <row r="39" spans="2:5" ht="18" customHeight="1">
      <c r="B39" s="2" t="s">
        <v>819</v>
      </c>
      <c r="C39" s="18"/>
      <c r="D39" s="18"/>
      <c r="E39" s="18"/>
    </row>
    <row r="40" spans="2:5" ht="37" customHeight="1">
      <c r="B40" s="127" t="s">
        <v>820</v>
      </c>
      <c r="C40" s="127"/>
      <c r="D40" s="127"/>
      <c r="E40" s="127"/>
    </row>
    <row r="42" spans="2:5" ht="18" customHeight="1">
      <c r="B42" s="131" t="s">
        <v>821</v>
      </c>
      <c r="C42" s="131"/>
      <c r="D42" s="131"/>
      <c r="E42" s="131"/>
    </row>
    <row r="44" spans="2:5" ht="18" customHeight="1">
      <c r="B44" s="128" t="s">
        <v>638</v>
      </c>
      <c r="C44" s="128" t="s">
        <v>37</v>
      </c>
      <c r="D44" s="128" t="s">
        <v>37</v>
      </c>
      <c r="E44" s="128" t="s">
        <v>37</v>
      </c>
    </row>
    <row r="45" spans="2:5" ht="18" customHeight="1">
      <c r="B45" s="126" t="s">
        <v>822</v>
      </c>
      <c r="C45" s="126"/>
      <c r="D45" s="126"/>
      <c r="E45" s="126"/>
    </row>
    <row r="46" spans="2:5" ht="39" customHeight="1">
      <c r="B46" s="132" t="s">
        <v>823</v>
      </c>
      <c r="C46" s="129"/>
      <c r="D46" s="129"/>
      <c r="E46" s="129"/>
    </row>
    <row r="47" spans="2:5" ht="18" customHeight="1">
      <c r="B47" s="130" t="s">
        <v>824</v>
      </c>
      <c r="C47" s="130"/>
      <c r="D47" s="130"/>
      <c r="E47" s="130"/>
    </row>
    <row r="48" spans="2:5" ht="39" customHeight="1">
      <c r="B48" s="129" t="s">
        <v>825</v>
      </c>
      <c r="C48" s="129"/>
      <c r="D48" s="129"/>
      <c r="E48" s="129"/>
    </row>
    <row r="49" spans="1:24" ht="39" customHeight="1">
      <c r="B49" s="130" t="s">
        <v>826</v>
      </c>
      <c r="C49" s="129"/>
      <c r="D49" s="129"/>
      <c r="E49" s="129"/>
    </row>
    <row r="50" spans="1:24" ht="18" customHeight="1">
      <c r="B50" s="129" t="s">
        <v>827</v>
      </c>
      <c r="C50" s="129"/>
      <c r="D50" s="129"/>
      <c r="E50" s="129"/>
    </row>
    <row r="52" spans="1:24" ht="18" customHeight="1">
      <c r="B52" s="128" t="s">
        <v>655</v>
      </c>
      <c r="C52" s="128" t="s">
        <v>40</v>
      </c>
      <c r="D52" s="128" t="s">
        <v>40</v>
      </c>
      <c r="E52" s="128" t="s">
        <v>40</v>
      </c>
    </row>
    <row r="53" spans="1:24" ht="18" customHeight="1">
      <c r="B53" s="130" t="s">
        <v>828</v>
      </c>
      <c r="C53" s="130"/>
      <c r="D53" s="130"/>
      <c r="E53" s="130"/>
    </row>
    <row r="54" spans="1:24" ht="50.05" customHeight="1">
      <c r="B54" s="129" t="s">
        <v>829</v>
      </c>
      <c r="C54" s="129"/>
      <c r="D54" s="129"/>
      <c r="E54" s="129"/>
    </row>
    <row r="55" spans="1:24" s="2" customFormat="1" ht="18" customHeight="1">
      <c r="B55" s="130" t="s">
        <v>830</v>
      </c>
      <c r="C55" s="130"/>
      <c r="D55" s="130"/>
      <c r="E55" s="130"/>
    </row>
    <row r="56" spans="1:24" ht="54" customHeight="1">
      <c r="B56" s="127" t="s">
        <v>831</v>
      </c>
      <c r="C56" s="127"/>
      <c r="D56" s="127"/>
      <c r="E56" s="127"/>
    </row>
    <row r="57" spans="1:24" s="2" customFormat="1" ht="18" customHeight="1">
      <c r="B57" s="126" t="s">
        <v>832</v>
      </c>
      <c r="C57" s="126"/>
      <c r="D57" s="126"/>
      <c r="E57" s="126"/>
    </row>
    <row r="58" spans="1:24" s="3" customFormat="1" ht="36" customHeight="1">
      <c r="A58" s="6"/>
      <c r="B58" s="127" t="s">
        <v>833</v>
      </c>
      <c r="C58" s="127"/>
      <c r="D58" s="127"/>
      <c r="E58" s="127"/>
      <c r="F58" s="20"/>
      <c r="G58" s="20"/>
      <c r="H58" s="20"/>
      <c r="I58" s="20"/>
      <c r="J58" s="6"/>
      <c r="K58" s="6"/>
      <c r="L58" s="6"/>
      <c r="M58" s="6"/>
      <c r="N58" s="6"/>
      <c r="O58" s="6"/>
      <c r="P58" s="6"/>
      <c r="Q58" s="6"/>
      <c r="R58" s="6"/>
      <c r="S58" s="6"/>
      <c r="T58" s="6"/>
      <c r="U58" s="6"/>
      <c r="V58" s="6"/>
      <c r="W58" s="6"/>
      <c r="X58" s="6"/>
    </row>
    <row r="59" spans="1:24" s="4" customFormat="1" ht="12.45">
      <c r="A59" s="8"/>
      <c r="B59" s="126" t="s">
        <v>834</v>
      </c>
      <c r="C59" s="126" t="s">
        <v>835</v>
      </c>
      <c r="D59" s="126" t="s">
        <v>835</v>
      </c>
      <c r="E59" s="126" t="s">
        <v>835</v>
      </c>
      <c r="F59" s="21"/>
      <c r="G59" s="21"/>
      <c r="H59" s="21"/>
      <c r="I59" s="21"/>
      <c r="J59" s="8"/>
      <c r="K59" s="8"/>
      <c r="L59" s="8"/>
      <c r="M59" s="8"/>
      <c r="N59" s="8"/>
      <c r="O59" s="8"/>
      <c r="P59" s="8"/>
      <c r="Q59" s="8"/>
      <c r="R59" s="8"/>
      <c r="S59" s="8"/>
      <c r="T59" s="8"/>
      <c r="U59" s="8"/>
      <c r="V59" s="8"/>
      <c r="W59" s="8"/>
      <c r="X59" s="8"/>
    </row>
    <row r="60" spans="1:24" s="3" customFormat="1" ht="35.049999999999997" customHeight="1">
      <c r="A60" s="6"/>
      <c r="B60" s="127" t="s">
        <v>836</v>
      </c>
      <c r="C60" s="127" t="s">
        <v>836</v>
      </c>
      <c r="D60" s="127" t="s">
        <v>836</v>
      </c>
      <c r="E60" s="127" t="s">
        <v>836</v>
      </c>
      <c r="G60" s="6"/>
      <c r="H60" s="6"/>
      <c r="I60" s="6"/>
      <c r="J60" s="6"/>
      <c r="K60" s="6"/>
      <c r="L60" s="6"/>
      <c r="M60" s="11"/>
      <c r="N60" s="6"/>
      <c r="O60" s="6"/>
      <c r="P60" s="6"/>
      <c r="Q60" s="6"/>
      <c r="R60" s="6"/>
      <c r="S60" s="6"/>
      <c r="T60" s="6"/>
      <c r="U60" s="6"/>
      <c r="V60" s="6"/>
      <c r="W60" s="6"/>
      <c r="X60" s="6"/>
    </row>
    <row r="61" spans="1:24" s="4" customFormat="1" ht="12.45">
      <c r="A61" s="8"/>
      <c r="B61" s="126" t="s">
        <v>837</v>
      </c>
      <c r="C61" s="126" t="s">
        <v>838</v>
      </c>
      <c r="D61" s="126" t="s">
        <v>838</v>
      </c>
      <c r="E61" s="126" t="s">
        <v>838</v>
      </c>
      <c r="F61" s="8"/>
      <c r="G61" s="8"/>
      <c r="H61" s="8"/>
      <c r="I61" s="8"/>
      <c r="J61" s="8"/>
      <c r="K61" s="8"/>
      <c r="L61" s="13"/>
      <c r="M61" s="13"/>
      <c r="N61" s="8"/>
      <c r="O61" s="8"/>
      <c r="P61" s="8"/>
      <c r="Q61" s="8"/>
      <c r="R61" s="8"/>
      <c r="S61" s="8"/>
      <c r="T61" s="8"/>
      <c r="U61" s="8"/>
      <c r="V61" s="8"/>
      <c r="W61" s="8"/>
      <c r="X61" s="8"/>
    </row>
    <row r="62" spans="1:24" s="3" customFormat="1" ht="36" customHeight="1">
      <c r="A62" s="6"/>
      <c r="B62" s="127" t="s">
        <v>839</v>
      </c>
      <c r="C62" s="127" t="s">
        <v>839</v>
      </c>
      <c r="D62" s="127" t="s">
        <v>839</v>
      </c>
      <c r="E62" s="127" t="s">
        <v>839</v>
      </c>
      <c r="F62" s="6"/>
      <c r="G62" s="6"/>
      <c r="H62" s="6"/>
      <c r="I62" s="6"/>
      <c r="J62" s="6"/>
      <c r="K62" s="6"/>
      <c r="L62" s="14"/>
      <c r="M62" s="14"/>
      <c r="N62" s="6"/>
      <c r="O62" s="6"/>
      <c r="P62" s="6"/>
      <c r="Q62" s="6"/>
      <c r="R62" s="6"/>
      <c r="S62" s="6"/>
      <c r="T62" s="6"/>
      <c r="U62" s="6"/>
      <c r="V62" s="6"/>
      <c r="W62" s="6"/>
      <c r="X62" s="6"/>
    </row>
    <row r="63" spans="1:24" s="4" customFormat="1" ht="12.45">
      <c r="A63" s="8"/>
      <c r="B63" s="126" t="s">
        <v>840</v>
      </c>
      <c r="C63" s="126" t="s">
        <v>841</v>
      </c>
      <c r="D63" s="126" t="s">
        <v>841</v>
      </c>
      <c r="E63" s="126" t="s">
        <v>841</v>
      </c>
      <c r="F63" s="8"/>
      <c r="G63" s="8"/>
      <c r="H63" s="8"/>
      <c r="I63" s="8"/>
      <c r="J63" s="8"/>
      <c r="K63" s="8"/>
      <c r="L63" s="13"/>
      <c r="M63" s="13"/>
      <c r="N63" s="8"/>
      <c r="O63" s="8"/>
      <c r="P63" s="8"/>
      <c r="Q63" s="8"/>
      <c r="R63" s="8"/>
      <c r="S63" s="8"/>
      <c r="T63" s="8"/>
      <c r="U63" s="8"/>
      <c r="V63" s="8"/>
      <c r="W63" s="8"/>
      <c r="X63" s="8"/>
    </row>
    <row r="64" spans="1:24" s="3" customFormat="1" ht="34" customHeight="1">
      <c r="A64" s="6"/>
      <c r="B64" s="127" t="s">
        <v>842</v>
      </c>
      <c r="C64" s="127"/>
      <c r="D64" s="127"/>
      <c r="E64" s="127" t="s">
        <v>842</v>
      </c>
      <c r="F64" s="6"/>
      <c r="G64" s="6"/>
      <c r="H64" s="6"/>
      <c r="I64" s="6"/>
      <c r="J64" s="6"/>
      <c r="K64" s="6"/>
      <c r="L64" s="14"/>
      <c r="M64" s="14"/>
      <c r="N64" s="6"/>
      <c r="O64" s="6"/>
      <c r="P64" s="6"/>
      <c r="Q64" s="6"/>
      <c r="R64" s="6"/>
      <c r="S64" s="6"/>
      <c r="T64" s="6"/>
      <c r="U64" s="6"/>
      <c r="V64" s="6"/>
      <c r="W64" s="6"/>
      <c r="X64" s="6"/>
    </row>
    <row r="65" spans="1:24" s="3" customFormat="1" ht="15">
      <c r="A65" s="6"/>
      <c r="B65" s="126" t="s">
        <v>843</v>
      </c>
      <c r="C65" s="126"/>
      <c r="D65" s="126"/>
      <c r="E65" s="126"/>
      <c r="F65" s="6"/>
      <c r="G65" s="6"/>
      <c r="H65" s="6"/>
      <c r="I65" s="6"/>
      <c r="J65" s="6"/>
      <c r="K65" s="6"/>
      <c r="L65" s="14"/>
      <c r="M65" s="14"/>
      <c r="N65" s="6"/>
      <c r="O65" s="6"/>
      <c r="P65" s="6"/>
      <c r="Q65" s="6"/>
      <c r="R65" s="6"/>
      <c r="S65" s="6"/>
      <c r="T65" s="6"/>
      <c r="U65" s="6"/>
      <c r="V65" s="6"/>
      <c r="W65" s="6"/>
      <c r="X65" s="6"/>
    </row>
    <row r="66" spans="1:24" s="3" customFormat="1" ht="46" customHeight="1">
      <c r="A66" s="6"/>
      <c r="B66" s="129" t="s">
        <v>844</v>
      </c>
      <c r="C66" s="129"/>
      <c r="D66" s="129"/>
      <c r="E66" s="129"/>
      <c r="F66" s="6"/>
      <c r="G66" s="6"/>
      <c r="H66" s="6"/>
      <c r="I66" s="6"/>
      <c r="J66" s="6"/>
      <c r="K66" s="6"/>
      <c r="L66" s="14"/>
      <c r="M66" s="14"/>
      <c r="N66" s="6"/>
      <c r="O66" s="6"/>
      <c r="P66" s="6"/>
      <c r="Q66" s="6"/>
      <c r="R66" s="6"/>
      <c r="S66" s="6"/>
      <c r="T66" s="6"/>
      <c r="U66" s="6"/>
      <c r="V66" s="6"/>
      <c r="W66" s="6"/>
      <c r="X66" s="6"/>
    </row>
    <row r="67" spans="1:24" s="3" customFormat="1" ht="15">
      <c r="A67" s="6"/>
      <c r="B67" s="126" t="s">
        <v>845</v>
      </c>
      <c r="C67" s="126"/>
      <c r="D67" s="126"/>
      <c r="E67" s="126"/>
      <c r="F67" s="6"/>
      <c r="G67" s="6"/>
      <c r="H67" s="6"/>
      <c r="I67" s="6"/>
      <c r="J67" s="6"/>
      <c r="K67" s="6"/>
      <c r="L67" s="14"/>
      <c r="M67" s="14"/>
      <c r="N67" s="6"/>
      <c r="O67" s="6"/>
      <c r="P67" s="6"/>
      <c r="Q67" s="6"/>
      <c r="R67" s="6"/>
      <c r="S67" s="6"/>
      <c r="T67" s="6"/>
      <c r="U67" s="6"/>
      <c r="V67" s="6"/>
      <c r="W67" s="6"/>
      <c r="X67" s="6"/>
    </row>
    <row r="68" spans="1:24" s="3" customFormat="1" ht="34" customHeight="1">
      <c r="A68" s="6"/>
      <c r="B68" s="129" t="s">
        <v>846</v>
      </c>
      <c r="C68" s="129"/>
      <c r="D68" s="129"/>
      <c r="E68" s="129"/>
      <c r="F68" s="6"/>
      <c r="G68" s="6"/>
      <c r="H68" s="6"/>
      <c r="I68" s="6"/>
      <c r="J68" s="6"/>
      <c r="K68" s="6"/>
      <c r="L68" s="14"/>
      <c r="M68" s="14"/>
      <c r="N68" s="6"/>
      <c r="O68" s="6"/>
      <c r="P68" s="6"/>
      <c r="Q68" s="6"/>
      <c r="R68" s="6"/>
      <c r="S68" s="6"/>
      <c r="T68" s="6"/>
      <c r="U68" s="6"/>
      <c r="V68" s="6"/>
      <c r="W68" s="6"/>
      <c r="X68" s="6"/>
    </row>
    <row r="69" spans="1:24" s="3" customFormat="1" ht="15">
      <c r="A69" s="6"/>
      <c r="B69" s="126" t="s">
        <v>847</v>
      </c>
      <c r="C69" s="126"/>
      <c r="D69" s="126"/>
      <c r="E69" s="126"/>
      <c r="F69" s="6"/>
      <c r="G69" s="6"/>
      <c r="H69" s="6"/>
      <c r="I69" s="6"/>
      <c r="J69" s="6"/>
      <c r="K69" s="6"/>
      <c r="L69" s="14"/>
      <c r="M69" s="14"/>
      <c r="N69" s="6"/>
      <c r="O69" s="6"/>
      <c r="P69" s="6"/>
      <c r="Q69" s="6"/>
      <c r="R69" s="6"/>
      <c r="S69" s="6"/>
      <c r="T69" s="6"/>
      <c r="U69" s="6"/>
      <c r="V69" s="6"/>
      <c r="W69" s="6"/>
      <c r="X69" s="6"/>
    </row>
    <row r="70" spans="1:24" s="3" customFormat="1" ht="34" customHeight="1">
      <c r="A70" s="6"/>
      <c r="B70" s="129" t="s">
        <v>848</v>
      </c>
      <c r="C70" s="129"/>
      <c r="D70" s="129"/>
      <c r="E70" s="129"/>
      <c r="F70" s="6"/>
      <c r="G70" s="6"/>
      <c r="H70" s="6"/>
      <c r="I70" s="6"/>
      <c r="J70" s="6"/>
      <c r="K70" s="6"/>
      <c r="L70" s="14"/>
      <c r="M70" s="14"/>
      <c r="N70" s="6"/>
      <c r="O70" s="6"/>
      <c r="P70" s="6"/>
      <c r="Q70" s="6"/>
      <c r="R70" s="6"/>
      <c r="S70" s="6"/>
      <c r="T70" s="6"/>
      <c r="U70" s="6"/>
      <c r="V70" s="6"/>
      <c r="W70" s="6"/>
      <c r="X70" s="6"/>
    </row>
    <row r="71" spans="1:24" s="3" customFormat="1" ht="15">
      <c r="A71" s="6"/>
      <c r="B71" s="126" t="s">
        <v>849</v>
      </c>
      <c r="C71" s="126"/>
      <c r="D71" s="126"/>
      <c r="E71" s="126"/>
      <c r="F71" s="6"/>
      <c r="G71" s="6"/>
      <c r="H71" s="6"/>
      <c r="I71" s="6"/>
      <c r="J71" s="6"/>
      <c r="K71" s="6"/>
      <c r="L71" s="14"/>
      <c r="M71" s="14"/>
      <c r="N71" s="6"/>
      <c r="O71" s="6"/>
      <c r="P71" s="6"/>
      <c r="Q71" s="6"/>
      <c r="R71" s="6"/>
      <c r="S71" s="6"/>
      <c r="T71" s="6"/>
      <c r="U71" s="6"/>
      <c r="V71" s="6"/>
      <c r="W71" s="6"/>
      <c r="X71" s="6"/>
    </row>
    <row r="72" spans="1:24" s="3" customFormat="1" ht="34" customHeight="1">
      <c r="A72" s="6"/>
      <c r="B72" s="129" t="s">
        <v>850</v>
      </c>
      <c r="C72" s="129"/>
      <c r="D72" s="129"/>
      <c r="E72" s="129"/>
      <c r="F72" s="6"/>
      <c r="G72" s="6"/>
      <c r="H72" s="6"/>
      <c r="I72" s="6"/>
      <c r="J72" s="6"/>
      <c r="K72" s="6"/>
      <c r="L72" s="14"/>
      <c r="M72" s="14"/>
      <c r="N72" s="6"/>
      <c r="O72" s="6"/>
      <c r="P72" s="6"/>
      <c r="Q72" s="6"/>
      <c r="R72" s="6"/>
      <c r="S72" s="6"/>
      <c r="T72" s="6"/>
      <c r="U72" s="6"/>
      <c r="V72" s="6"/>
      <c r="W72" s="6"/>
      <c r="X72" s="6"/>
    </row>
    <row r="74" spans="1:24" ht="18" customHeight="1">
      <c r="B74" s="128" t="s">
        <v>744</v>
      </c>
      <c r="C74" s="128" t="s">
        <v>56</v>
      </c>
      <c r="D74" s="128" t="s">
        <v>56</v>
      </c>
      <c r="E74" s="128" t="s">
        <v>56</v>
      </c>
    </row>
    <row r="75" spans="1:24" ht="31" customHeight="1">
      <c r="B75" s="126" t="s">
        <v>851</v>
      </c>
      <c r="C75" s="126"/>
      <c r="D75" s="126"/>
      <c r="E75" s="126"/>
    </row>
    <row r="76" spans="1:24" ht="51" customHeight="1">
      <c r="B76" s="127" t="s">
        <v>852</v>
      </c>
      <c r="C76" s="127"/>
      <c r="D76" s="127"/>
      <c r="E76" s="127"/>
    </row>
    <row r="77" spans="1:24" ht="18" customHeight="1">
      <c r="B77" s="2" t="s">
        <v>853</v>
      </c>
    </row>
    <row r="78" spans="1:24" ht="34" customHeight="1">
      <c r="B78" s="127" t="s">
        <v>854</v>
      </c>
      <c r="C78" s="127"/>
      <c r="D78" s="127"/>
      <c r="E78" s="127"/>
    </row>
    <row r="79" spans="1:24" ht="18" customHeight="1">
      <c r="B79" s="18"/>
      <c r="C79" s="18"/>
      <c r="D79" s="18"/>
      <c r="E79" s="18"/>
    </row>
    <row r="80" spans="1:24" ht="18" customHeight="1">
      <c r="B80" s="128" t="s">
        <v>765</v>
      </c>
      <c r="C80" s="128"/>
      <c r="D80" s="128"/>
      <c r="E80" s="128"/>
    </row>
    <row r="81" spans="2:5" ht="36" customHeight="1">
      <c r="B81" s="126" t="s">
        <v>855</v>
      </c>
      <c r="C81" s="126"/>
      <c r="D81" s="126"/>
      <c r="E81" s="126"/>
    </row>
    <row r="82" spans="2:5" ht="36" customHeight="1">
      <c r="B82" s="127" t="s">
        <v>856</v>
      </c>
      <c r="C82" s="127"/>
      <c r="D82" s="127"/>
      <c r="E82" s="127"/>
    </row>
    <row r="83" spans="2:5" ht="18" customHeight="1">
      <c r="B83" s="2" t="s">
        <v>857</v>
      </c>
    </row>
    <row r="84" spans="2:5" ht="18" customHeight="1">
      <c r="B84" s="1" t="s">
        <v>858</v>
      </c>
    </row>
  </sheetData>
  <mergeCells count="67">
    <mergeCell ref="B2:E2"/>
    <mergeCell ref="B3:E3"/>
    <mergeCell ref="B4:E4"/>
    <mergeCell ref="B6:E6"/>
    <mergeCell ref="B7:E7"/>
    <mergeCell ref="B8:E8"/>
    <mergeCell ref="B9:E9"/>
    <mergeCell ref="B10:E10"/>
    <mergeCell ref="B12:E12"/>
    <mergeCell ref="B13:E13"/>
    <mergeCell ref="B14:E14"/>
    <mergeCell ref="B15:E15"/>
    <mergeCell ref="B16:E16"/>
    <mergeCell ref="B18:E18"/>
    <mergeCell ref="B19:E19"/>
    <mergeCell ref="B20:E20"/>
    <mergeCell ref="B21:E21"/>
    <mergeCell ref="B22:E22"/>
    <mergeCell ref="B23:E23"/>
    <mergeCell ref="B24:E24"/>
    <mergeCell ref="B25:E25"/>
    <mergeCell ref="B27:E27"/>
    <mergeCell ref="B28:E28"/>
    <mergeCell ref="B29:E29"/>
    <mergeCell ref="B30:E30"/>
    <mergeCell ref="B32:E32"/>
    <mergeCell ref="B34:E34"/>
    <mergeCell ref="B35:E35"/>
    <mergeCell ref="B36:E36"/>
    <mergeCell ref="B37:E37"/>
    <mergeCell ref="B40:E40"/>
    <mergeCell ref="B42:E42"/>
    <mergeCell ref="B44:E44"/>
    <mergeCell ref="B45:E45"/>
    <mergeCell ref="B46:E46"/>
    <mergeCell ref="B47:E47"/>
    <mergeCell ref="B48:E48"/>
    <mergeCell ref="B49:E49"/>
    <mergeCell ref="B50:E50"/>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81:E81"/>
    <mergeCell ref="B82:E82"/>
    <mergeCell ref="B74:E74"/>
    <mergeCell ref="B75:E75"/>
    <mergeCell ref="B76:E76"/>
    <mergeCell ref="B78:E78"/>
    <mergeCell ref="B80:E80"/>
  </mergeCells>
  <phoneticPr fontId="40" type="noConversion"/>
  <pageMargins left="0.7" right="0.7" top="0.75" bottom="0.75" header="0.3" footer="0.3"/>
  <headerFooter>
    <oddFooter>&amp;L_x000D_&amp;1#&amp;"Aptos"&amp;10&amp;K000000 NSF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X81"/>
  <sheetViews>
    <sheetView topLeftCell="A60" zoomScale="80" zoomScaleNormal="80" workbookViewId="0"/>
  </sheetViews>
  <sheetFormatPr defaultColWidth="9" defaultRowHeight="18" customHeight="1"/>
  <cols>
    <col min="1" max="1" width="3.61328125" style="1" customWidth="1"/>
    <col min="2" max="2" width="18" style="1" customWidth="1"/>
    <col min="3" max="3" width="38" style="1" customWidth="1"/>
    <col min="4" max="4" width="18" style="1" customWidth="1"/>
    <col min="5" max="5" width="42" style="1" customWidth="1"/>
    <col min="6" max="16384" width="9" style="1"/>
  </cols>
  <sheetData>
    <row r="2" spans="2:5" ht="36" customHeight="1">
      <c r="B2" s="133" t="s">
        <v>859</v>
      </c>
      <c r="C2" s="133"/>
      <c r="D2" s="133"/>
      <c r="E2" s="133"/>
    </row>
    <row r="3" spans="2:5" ht="18" customHeight="1">
      <c r="B3" s="134"/>
      <c r="C3" s="134"/>
      <c r="D3" s="134"/>
      <c r="E3" s="134"/>
    </row>
    <row r="4" spans="2:5" ht="18" customHeight="1">
      <c r="B4" s="5" t="s">
        <v>860</v>
      </c>
    </row>
    <row r="5" spans="2:5" ht="18" customHeight="1">
      <c r="B5" s="5" t="s">
        <v>861</v>
      </c>
    </row>
    <row r="6" spans="2:5" ht="18" customHeight="1">
      <c r="B6" s="5" t="s">
        <v>862</v>
      </c>
    </row>
    <row r="7" spans="2:5" ht="18" customHeight="1">
      <c r="B7" s="5" t="s">
        <v>863</v>
      </c>
    </row>
    <row r="8" spans="2:5" ht="18" customHeight="1">
      <c r="B8" s="5" t="s">
        <v>864</v>
      </c>
    </row>
    <row r="9" spans="2:5" ht="18" customHeight="1">
      <c r="B9" s="5" t="s">
        <v>865</v>
      </c>
    </row>
    <row r="10" spans="2:5" ht="18" customHeight="1">
      <c r="B10" s="5" t="s">
        <v>866</v>
      </c>
    </row>
    <row r="11" spans="2:5" ht="18" customHeight="1">
      <c r="B11" s="5" t="s">
        <v>867</v>
      </c>
    </row>
    <row r="12" spans="2:5" ht="18" customHeight="1">
      <c r="B12" s="5" t="s">
        <v>868</v>
      </c>
    </row>
    <row r="13" spans="2:5" ht="18" customHeight="1">
      <c r="B13" s="5" t="s">
        <v>869</v>
      </c>
    </row>
    <row r="14" spans="2:5" ht="18" customHeight="1">
      <c r="B14" s="5" t="s">
        <v>870</v>
      </c>
    </row>
    <row r="15" spans="2:5" ht="18" customHeight="1">
      <c r="B15" s="5" t="s">
        <v>871</v>
      </c>
    </row>
    <row r="16" spans="2:5" ht="18" customHeight="1">
      <c r="B16" s="5" t="s">
        <v>872</v>
      </c>
    </row>
    <row r="17" spans="2:2" ht="18" customHeight="1">
      <c r="B17" s="5" t="s">
        <v>873</v>
      </c>
    </row>
    <row r="18" spans="2:2" ht="18" customHeight="1">
      <c r="B18" s="5" t="s">
        <v>874</v>
      </c>
    </row>
    <row r="19" spans="2:2" ht="18" customHeight="1">
      <c r="B19" s="5" t="s">
        <v>875</v>
      </c>
    </row>
    <row r="20" spans="2:2" ht="18" customHeight="1">
      <c r="B20" s="5" t="s">
        <v>876</v>
      </c>
    </row>
    <row r="21" spans="2:2" ht="18" customHeight="1">
      <c r="B21" s="5" t="s">
        <v>877</v>
      </c>
    </row>
    <row r="22" spans="2:2" ht="18" customHeight="1">
      <c r="B22" s="5" t="s">
        <v>878</v>
      </c>
    </row>
    <row r="23" spans="2:2" ht="18" customHeight="1">
      <c r="B23" s="5" t="s">
        <v>879</v>
      </c>
    </row>
    <row r="24" spans="2:2" ht="18" customHeight="1">
      <c r="B24" s="5" t="s">
        <v>880</v>
      </c>
    </row>
    <row r="25" spans="2:2" ht="18" customHeight="1">
      <c r="B25" s="5" t="s">
        <v>881</v>
      </c>
    </row>
    <row r="26" spans="2:2" ht="18" customHeight="1">
      <c r="B26" s="5" t="s">
        <v>882</v>
      </c>
    </row>
    <row r="27" spans="2:2" ht="18" customHeight="1">
      <c r="B27" s="5" t="s">
        <v>883</v>
      </c>
    </row>
    <row r="28" spans="2:2" ht="18" customHeight="1">
      <c r="B28" s="5" t="s">
        <v>884</v>
      </c>
    </row>
    <row r="29" spans="2:2" ht="18" customHeight="1">
      <c r="B29" s="5" t="s">
        <v>885</v>
      </c>
    </row>
    <row r="30" spans="2:2" ht="18" customHeight="1">
      <c r="B30" s="5" t="s">
        <v>886</v>
      </c>
    </row>
    <row r="31" spans="2:2" ht="18" customHeight="1">
      <c r="B31" s="5" t="s">
        <v>887</v>
      </c>
    </row>
    <row r="32" spans="2:2" ht="18" customHeight="1">
      <c r="B32" s="5" t="s">
        <v>888</v>
      </c>
    </row>
    <row r="33" spans="2:2" ht="18" customHeight="1">
      <c r="B33" s="5" t="s">
        <v>889</v>
      </c>
    </row>
    <row r="34" spans="2:2" ht="18" customHeight="1">
      <c r="B34" s="5" t="s">
        <v>890</v>
      </c>
    </row>
    <row r="35" spans="2:2" ht="18" customHeight="1">
      <c r="B35" s="5" t="s">
        <v>891</v>
      </c>
    </row>
    <row r="36" spans="2:2" ht="18" customHeight="1">
      <c r="B36" s="5" t="s">
        <v>892</v>
      </c>
    </row>
    <row r="37" spans="2:2" ht="18" customHeight="1">
      <c r="B37" s="5" t="s">
        <v>893</v>
      </c>
    </row>
    <row r="38" spans="2:2" ht="18" customHeight="1">
      <c r="B38" s="5" t="s">
        <v>894</v>
      </c>
    </row>
    <row r="39" spans="2:2" ht="18" customHeight="1">
      <c r="B39" s="5" t="s">
        <v>895</v>
      </c>
    </row>
    <row r="40" spans="2:2" ht="18" customHeight="1">
      <c r="B40" s="5" t="s">
        <v>896</v>
      </c>
    </row>
    <row r="41" spans="2:2" ht="18" customHeight="1">
      <c r="B41" s="5" t="s">
        <v>897</v>
      </c>
    </row>
    <row r="42" spans="2:2" ht="18" customHeight="1">
      <c r="B42" s="5" t="s">
        <v>898</v>
      </c>
    </row>
    <row r="43" spans="2:2" ht="18" customHeight="1">
      <c r="B43" s="5" t="s">
        <v>899</v>
      </c>
    </row>
    <row r="44" spans="2:2" ht="18" customHeight="1">
      <c r="B44" s="5" t="s">
        <v>900</v>
      </c>
    </row>
    <row r="45" spans="2:2" ht="18" customHeight="1">
      <c r="B45" s="5" t="s">
        <v>901</v>
      </c>
    </row>
    <row r="46" spans="2:2" ht="18" customHeight="1">
      <c r="B46" s="5" t="s">
        <v>902</v>
      </c>
    </row>
    <row r="47" spans="2:2" ht="18" customHeight="1">
      <c r="B47" s="5" t="s">
        <v>903</v>
      </c>
    </row>
    <row r="48" spans="2:2" ht="18" customHeight="1">
      <c r="B48" s="5" t="s">
        <v>904</v>
      </c>
    </row>
    <row r="49" spans="1:20" ht="18" customHeight="1">
      <c r="B49" s="5" t="s">
        <v>905</v>
      </c>
    </row>
    <row r="50" spans="1:20" ht="18" customHeight="1">
      <c r="B50" s="5" t="s">
        <v>906</v>
      </c>
    </row>
    <row r="51" spans="1:20" ht="18" customHeight="1">
      <c r="B51" s="5" t="s">
        <v>907</v>
      </c>
    </row>
    <row r="52" spans="1:20" ht="18" customHeight="1">
      <c r="B52" s="5" t="s">
        <v>908</v>
      </c>
    </row>
    <row r="53" spans="1:20" ht="18" customHeight="1">
      <c r="B53" s="5" t="s">
        <v>909</v>
      </c>
    </row>
    <row r="54" spans="1:20" s="2" customFormat="1" ht="18" customHeight="1">
      <c r="B54" s="5" t="s">
        <v>910</v>
      </c>
    </row>
    <row r="55" spans="1:20" ht="18" customHeight="1">
      <c r="B55" s="5" t="s">
        <v>911</v>
      </c>
    </row>
    <row r="56" spans="1:20" s="2" customFormat="1" ht="18" customHeight="1">
      <c r="B56" s="5" t="s">
        <v>912</v>
      </c>
    </row>
    <row r="57" spans="1:20" s="3" customFormat="1" ht="18" customHeight="1">
      <c r="A57" s="6"/>
      <c r="B57" s="5" t="s">
        <v>913</v>
      </c>
      <c r="C57" s="7"/>
      <c r="D57" s="7"/>
      <c r="E57" s="7"/>
      <c r="F57" s="6"/>
      <c r="G57" s="6"/>
      <c r="H57" s="6"/>
      <c r="I57" s="6"/>
      <c r="J57" s="6"/>
      <c r="K57" s="6"/>
      <c r="L57" s="6"/>
      <c r="M57" s="6"/>
      <c r="N57" s="6"/>
      <c r="O57" s="6"/>
      <c r="P57" s="6"/>
      <c r="Q57" s="6"/>
      <c r="R57" s="6"/>
      <c r="S57" s="6"/>
      <c r="T57" s="6"/>
    </row>
    <row r="58" spans="1:20" s="4" customFormat="1" ht="18" customHeight="1">
      <c r="A58" s="8"/>
      <c r="B58" s="5" t="s">
        <v>914</v>
      </c>
      <c r="C58" s="9"/>
      <c r="D58" s="9"/>
      <c r="E58" s="9"/>
      <c r="F58" s="8"/>
      <c r="G58" s="8"/>
      <c r="H58" s="8"/>
      <c r="I58" s="8"/>
      <c r="J58" s="8"/>
      <c r="K58" s="8"/>
      <c r="L58" s="8"/>
      <c r="M58" s="8"/>
      <c r="N58" s="8"/>
      <c r="O58" s="8"/>
      <c r="P58" s="8"/>
      <c r="Q58" s="8"/>
      <c r="R58" s="8"/>
      <c r="S58" s="8"/>
      <c r="T58" s="8"/>
    </row>
    <row r="59" spans="1:20" s="3" customFormat="1" ht="18" customHeight="1">
      <c r="A59" s="6"/>
      <c r="B59" s="5" t="s">
        <v>915</v>
      </c>
      <c r="C59" s="10"/>
      <c r="D59" s="10"/>
      <c r="E59" s="10"/>
      <c r="F59" s="6"/>
      <c r="G59" s="6"/>
      <c r="H59" s="6"/>
      <c r="I59" s="11"/>
      <c r="J59" s="6"/>
      <c r="K59" s="6"/>
      <c r="L59" s="6"/>
      <c r="M59" s="6"/>
      <c r="N59" s="6"/>
      <c r="O59" s="6"/>
      <c r="P59" s="6"/>
      <c r="Q59" s="6"/>
      <c r="R59" s="6"/>
      <c r="S59" s="6"/>
      <c r="T59" s="6"/>
    </row>
    <row r="60" spans="1:20" s="4" customFormat="1" ht="18" customHeight="1">
      <c r="A60" s="8"/>
      <c r="B60" s="5" t="s">
        <v>916</v>
      </c>
      <c r="C60" s="12"/>
      <c r="D60" s="12"/>
      <c r="E60" s="12"/>
      <c r="F60" s="8"/>
      <c r="G60" s="8"/>
      <c r="H60" s="13"/>
      <c r="I60" s="13"/>
      <c r="J60" s="8"/>
      <c r="K60" s="8"/>
      <c r="L60" s="8"/>
      <c r="M60" s="8"/>
      <c r="N60" s="8"/>
      <c r="O60" s="8"/>
      <c r="P60" s="8"/>
      <c r="Q60" s="8"/>
      <c r="R60" s="8"/>
      <c r="S60" s="8"/>
      <c r="T60" s="8"/>
    </row>
    <row r="61" spans="1:20" s="3" customFormat="1" ht="18" customHeight="1">
      <c r="A61" s="6"/>
      <c r="B61" s="5" t="s">
        <v>917</v>
      </c>
      <c r="C61" s="10"/>
      <c r="D61" s="10"/>
      <c r="E61" s="10"/>
      <c r="F61" s="6"/>
      <c r="G61" s="6"/>
      <c r="H61" s="14"/>
      <c r="I61" s="14"/>
      <c r="J61" s="6"/>
      <c r="K61" s="6"/>
      <c r="L61" s="6"/>
      <c r="M61" s="6"/>
      <c r="N61" s="6"/>
      <c r="O61" s="6"/>
      <c r="P61" s="6"/>
      <c r="Q61" s="6"/>
      <c r="R61" s="6"/>
      <c r="S61" s="6"/>
      <c r="T61" s="6"/>
    </row>
    <row r="62" spans="1:20" s="4" customFormat="1" ht="18" customHeight="1">
      <c r="A62" s="8"/>
      <c r="B62" s="5" t="s">
        <v>918</v>
      </c>
      <c r="C62" s="12"/>
      <c r="D62" s="12"/>
      <c r="E62" s="12"/>
      <c r="F62" s="8"/>
      <c r="G62" s="8"/>
      <c r="H62" s="13"/>
      <c r="I62" s="13"/>
      <c r="J62" s="8"/>
      <c r="K62" s="8"/>
      <c r="L62" s="8"/>
      <c r="M62" s="8"/>
      <c r="N62" s="8"/>
      <c r="O62" s="8"/>
      <c r="P62" s="8"/>
      <c r="Q62" s="8"/>
      <c r="R62" s="8"/>
      <c r="S62" s="8"/>
      <c r="T62" s="8"/>
    </row>
    <row r="63" spans="1:20" s="3" customFormat="1" ht="18" customHeight="1">
      <c r="A63" s="6"/>
      <c r="B63" s="5" t="s">
        <v>919</v>
      </c>
      <c r="C63" s="10"/>
      <c r="D63" s="10"/>
      <c r="E63" s="10"/>
      <c r="F63" s="6"/>
      <c r="G63" s="6"/>
      <c r="H63" s="14"/>
      <c r="I63" s="14"/>
      <c r="J63" s="6"/>
      <c r="K63" s="6"/>
      <c r="L63" s="6"/>
      <c r="M63" s="6"/>
      <c r="N63" s="6"/>
      <c r="O63" s="6"/>
      <c r="P63" s="6"/>
      <c r="Q63" s="6"/>
      <c r="R63" s="6"/>
      <c r="S63" s="6"/>
      <c r="T63" s="6"/>
    </row>
    <row r="64" spans="1:20" s="3" customFormat="1" ht="18" customHeight="1">
      <c r="A64" s="6"/>
      <c r="B64" s="5" t="s">
        <v>920</v>
      </c>
      <c r="C64" s="10"/>
      <c r="D64" s="10"/>
      <c r="E64" s="10"/>
      <c r="F64" s="6"/>
      <c r="G64" s="6"/>
      <c r="H64" s="14"/>
      <c r="I64" s="14"/>
      <c r="J64" s="6"/>
      <c r="K64" s="6"/>
      <c r="L64" s="6"/>
      <c r="M64" s="6"/>
      <c r="N64" s="6"/>
      <c r="O64" s="6"/>
      <c r="P64" s="6"/>
      <c r="Q64" s="6"/>
      <c r="R64" s="6"/>
      <c r="S64" s="6"/>
      <c r="T64" s="6"/>
    </row>
    <row r="65" spans="1:24" s="3" customFormat="1" ht="18" customHeight="1">
      <c r="A65" s="6"/>
      <c r="B65" s="5" t="s">
        <v>921</v>
      </c>
      <c r="C65" s="10"/>
      <c r="D65" s="10"/>
      <c r="E65" s="10"/>
      <c r="F65" s="6"/>
      <c r="G65" s="6"/>
      <c r="H65" s="14"/>
      <c r="I65" s="14"/>
      <c r="J65" s="6"/>
      <c r="K65" s="6"/>
      <c r="L65" s="6"/>
      <c r="M65" s="6"/>
      <c r="N65" s="6"/>
      <c r="O65" s="6"/>
      <c r="P65" s="6"/>
      <c r="Q65" s="6"/>
      <c r="R65" s="6"/>
      <c r="S65" s="6"/>
      <c r="T65" s="6"/>
    </row>
    <row r="66" spans="1:24" s="3" customFormat="1" ht="18" customHeight="1">
      <c r="A66" s="6"/>
      <c r="B66" s="5" t="s">
        <v>922</v>
      </c>
      <c r="C66" s="10"/>
      <c r="D66" s="10"/>
      <c r="E66" s="10"/>
      <c r="F66" s="6"/>
      <c r="G66" s="6"/>
      <c r="H66" s="14"/>
      <c r="I66" s="14"/>
      <c r="J66" s="6"/>
      <c r="K66" s="6"/>
      <c r="L66" s="6"/>
      <c r="M66" s="6"/>
      <c r="N66" s="6"/>
      <c r="O66" s="6"/>
      <c r="P66" s="6"/>
      <c r="Q66" s="6"/>
      <c r="R66" s="6"/>
      <c r="S66" s="6"/>
      <c r="T66" s="6"/>
    </row>
    <row r="67" spans="1:24" s="3" customFormat="1" ht="18" customHeight="1">
      <c r="A67" s="6"/>
      <c r="B67" s="5" t="s">
        <v>923</v>
      </c>
      <c r="C67" s="10"/>
      <c r="D67" s="10"/>
      <c r="E67" s="10"/>
      <c r="F67" s="6"/>
      <c r="G67" s="6"/>
      <c r="H67" s="14"/>
      <c r="I67" s="14"/>
      <c r="J67" s="6"/>
      <c r="K67" s="6"/>
      <c r="L67" s="6"/>
      <c r="M67" s="6"/>
      <c r="N67" s="6"/>
      <c r="O67" s="6"/>
      <c r="P67" s="6"/>
      <c r="Q67" s="6"/>
      <c r="R67" s="6"/>
      <c r="S67" s="6"/>
      <c r="T67" s="6"/>
    </row>
    <row r="68" spans="1:24" s="3" customFormat="1" ht="18" customHeight="1">
      <c r="A68" s="6"/>
      <c r="B68" s="5" t="s">
        <v>924</v>
      </c>
      <c r="C68" s="15"/>
      <c r="D68" s="15"/>
      <c r="E68" s="15"/>
      <c r="F68" s="6"/>
      <c r="G68" s="6"/>
      <c r="H68" s="6"/>
      <c r="I68" s="6"/>
      <c r="J68" s="6"/>
      <c r="K68" s="6"/>
      <c r="L68" s="14"/>
      <c r="M68" s="14"/>
      <c r="N68" s="6"/>
      <c r="O68" s="6"/>
      <c r="P68" s="6"/>
      <c r="Q68" s="6"/>
      <c r="R68" s="6"/>
      <c r="S68" s="6"/>
      <c r="T68" s="6"/>
      <c r="U68" s="6"/>
      <c r="V68" s="6"/>
      <c r="W68" s="6"/>
      <c r="X68" s="6"/>
    </row>
    <row r="69" spans="1:24" s="3" customFormat="1" ht="18" customHeight="1">
      <c r="A69" s="6"/>
      <c r="B69" s="5" t="s">
        <v>925</v>
      </c>
      <c r="C69" s="16"/>
      <c r="D69" s="16"/>
      <c r="E69" s="16"/>
      <c r="F69" s="6"/>
      <c r="G69" s="6"/>
      <c r="H69" s="6"/>
      <c r="I69" s="6"/>
      <c r="J69" s="6"/>
      <c r="K69" s="6"/>
      <c r="L69" s="14"/>
      <c r="M69" s="14"/>
      <c r="N69" s="6"/>
      <c r="O69" s="6"/>
      <c r="P69" s="6"/>
      <c r="Q69" s="6"/>
      <c r="R69" s="6"/>
      <c r="S69" s="6"/>
      <c r="T69" s="6"/>
      <c r="U69" s="6"/>
      <c r="V69" s="6"/>
      <c r="W69" s="6"/>
      <c r="X69" s="6"/>
    </row>
    <row r="70" spans="1:24" s="3" customFormat="1" ht="18" customHeight="1">
      <c r="A70" s="6"/>
      <c r="B70" s="5" t="s">
        <v>926</v>
      </c>
      <c r="C70" s="15"/>
      <c r="D70" s="15"/>
      <c r="E70" s="15"/>
      <c r="F70" s="6"/>
      <c r="G70" s="6"/>
      <c r="H70" s="6"/>
      <c r="I70" s="6"/>
      <c r="J70" s="6"/>
      <c r="K70" s="6"/>
      <c r="L70" s="14"/>
      <c r="M70" s="14"/>
      <c r="N70" s="6"/>
      <c r="O70" s="6"/>
      <c r="P70" s="6"/>
      <c r="Q70" s="6"/>
      <c r="R70" s="6"/>
      <c r="S70" s="6"/>
      <c r="T70" s="6"/>
      <c r="U70" s="6"/>
      <c r="V70" s="6"/>
      <c r="W70" s="6"/>
      <c r="X70" s="6"/>
    </row>
    <row r="71" spans="1:24" s="3" customFormat="1" ht="18" customHeight="1">
      <c r="A71" s="6"/>
      <c r="B71" s="5" t="s">
        <v>927</v>
      </c>
      <c r="C71" s="16"/>
      <c r="D71" s="16"/>
      <c r="E71" s="16"/>
      <c r="F71" s="6"/>
      <c r="G71" s="6"/>
      <c r="H71" s="6"/>
      <c r="I71" s="6"/>
      <c r="J71" s="6"/>
      <c r="K71" s="6"/>
      <c r="L71" s="14"/>
      <c r="M71" s="14"/>
      <c r="N71" s="6"/>
      <c r="O71" s="6"/>
      <c r="P71" s="6"/>
      <c r="Q71" s="6"/>
      <c r="R71" s="6"/>
      <c r="S71" s="6"/>
      <c r="T71" s="6"/>
      <c r="U71" s="6"/>
      <c r="V71" s="6"/>
      <c r="W71" s="6"/>
      <c r="X71" s="6"/>
    </row>
    <row r="72" spans="1:24" ht="18" customHeight="1">
      <c r="B72" s="5" t="s">
        <v>928</v>
      </c>
    </row>
    <row r="73" spans="1:24" ht="18" customHeight="1">
      <c r="B73" s="5" t="s">
        <v>929</v>
      </c>
      <c r="C73" s="17"/>
      <c r="D73" s="17"/>
      <c r="E73" s="17"/>
    </row>
    <row r="74" spans="1:24" ht="18" customHeight="1">
      <c r="B74" s="5" t="s">
        <v>930</v>
      </c>
      <c r="C74" s="15"/>
      <c r="D74" s="15"/>
      <c r="E74" s="15"/>
    </row>
    <row r="75" spans="1:24" ht="18" customHeight="1">
      <c r="B75" s="5" t="s">
        <v>931</v>
      </c>
      <c r="C75" s="18"/>
      <c r="D75" s="18"/>
      <c r="E75" s="18"/>
    </row>
    <row r="76" spans="1:24" ht="18" customHeight="1">
      <c r="B76" s="19" t="s">
        <v>932</v>
      </c>
    </row>
    <row r="78" spans="1:24" ht="18" customHeight="1">
      <c r="B78" s="18"/>
      <c r="C78" s="18"/>
      <c r="D78" s="18"/>
      <c r="E78" s="18"/>
    </row>
    <row r="79" spans="1:24" ht="18" customHeight="1">
      <c r="B79" s="126"/>
      <c r="C79" s="126"/>
      <c r="D79" s="126"/>
      <c r="E79" s="126"/>
    </row>
    <row r="81" spans="2:2" ht="18" customHeight="1">
      <c r="B81" s="2"/>
    </row>
  </sheetData>
  <mergeCells count="3">
    <mergeCell ref="B2:E2"/>
    <mergeCell ref="B3:E3"/>
    <mergeCell ref="B79:E79"/>
  </mergeCells>
  <phoneticPr fontId="40" type="noConversion"/>
  <pageMargins left="0.75" right="0.75" top="1" bottom="1" header="0.5" footer="0.5"/>
  <headerFooter>
    <oddFooter>&amp;L_x000D_&amp;1#&amp;"Aptos"&amp;10&amp;K000000 NSF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C981-566E-4154-97AC-A960EC151009}">
  <dimension ref="A2:X81"/>
  <sheetViews>
    <sheetView topLeftCell="A57" zoomScale="80" zoomScaleNormal="80" workbookViewId="0">
      <selection activeCell="E81" sqref="E81"/>
    </sheetView>
  </sheetViews>
  <sheetFormatPr defaultColWidth="9" defaultRowHeight="18" customHeight="1"/>
  <cols>
    <col min="1" max="1" width="3.61328125" style="1" customWidth="1"/>
    <col min="2" max="2" width="68" style="1" customWidth="1"/>
    <col min="3" max="3" width="152.84375" style="1" customWidth="1"/>
    <col min="4" max="4" width="18" style="1" customWidth="1"/>
    <col min="5" max="5" width="42" style="1" customWidth="1"/>
    <col min="6" max="16384" width="9" style="1"/>
  </cols>
  <sheetData>
    <row r="2" spans="2:5" ht="36" customHeight="1">
      <c r="B2" s="133" t="s">
        <v>859</v>
      </c>
      <c r="C2" s="133"/>
      <c r="D2" s="133"/>
      <c r="E2" s="133"/>
    </row>
    <row r="3" spans="2:5" ht="18" customHeight="1">
      <c r="B3" s="134"/>
      <c r="C3" s="134"/>
      <c r="D3" s="134"/>
      <c r="E3" s="134"/>
    </row>
    <row r="4" spans="2:5" ht="18" customHeight="1">
      <c r="B4" s="5" t="s">
        <v>860</v>
      </c>
    </row>
    <row r="5" spans="2:5" ht="18" customHeight="1">
      <c r="B5" s="5" t="s">
        <v>861</v>
      </c>
    </row>
    <row r="6" spans="2:5" s="109" customFormat="1" ht="18" customHeight="1">
      <c r="B6" s="108" t="s">
        <v>862</v>
      </c>
    </row>
    <row r="7" spans="2:5" ht="18" customHeight="1">
      <c r="B7" s="5" t="s">
        <v>863</v>
      </c>
    </row>
    <row r="8" spans="2:5" ht="18" customHeight="1">
      <c r="B8" s="5" t="s">
        <v>864</v>
      </c>
    </row>
    <row r="9" spans="2:5" ht="18" customHeight="1">
      <c r="B9" s="5" t="s">
        <v>865</v>
      </c>
    </row>
    <row r="10" spans="2:5" ht="18" customHeight="1">
      <c r="B10" s="5" t="s">
        <v>866</v>
      </c>
    </row>
    <row r="11" spans="2:5" ht="18" customHeight="1">
      <c r="B11" s="5" t="s">
        <v>867</v>
      </c>
    </row>
    <row r="12" spans="2:5" ht="18" customHeight="1">
      <c r="B12" s="5" t="s">
        <v>868</v>
      </c>
    </row>
    <row r="13" spans="2:5" ht="18" customHeight="1">
      <c r="B13" s="5" t="s">
        <v>869</v>
      </c>
    </row>
    <row r="14" spans="2:5" ht="18" customHeight="1">
      <c r="B14" s="5" t="s">
        <v>870</v>
      </c>
    </row>
    <row r="15" spans="2:5" ht="18" customHeight="1">
      <c r="B15" s="5" t="s">
        <v>871</v>
      </c>
    </row>
    <row r="16" spans="2:5" ht="18" customHeight="1">
      <c r="B16" s="5" t="s">
        <v>872</v>
      </c>
    </row>
    <row r="17" spans="2:2" ht="18" customHeight="1">
      <c r="B17" s="5" t="s">
        <v>873</v>
      </c>
    </row>
    <row r="18" spans="2:2" ht="18" customHeight="1">
      <c r="B18" s="5" t="s">
        <v>874</v>
      </c>
    </row>
    <row r="19" spans="2:2" ht="18" customHeight="1">
      <c r="B19" s="5" t="s">
        <v>875</v>
      </c>
    </row>
    <row r="20" spans="2:2" ht="18" customHeight="1">
      <c r="B20" s="5" t="s">
        <v>876</v>
      </c>
    </row>
    <row r="21" spans="2:2" ht="18" customHeight="1">
      <c r="B21" s="5" t="s">
        <v>877</v>
      </c>
    </row>
    <row r="22" spans="2:2" ht="18" customHeight="1">
      <c r="B22" s="5" t="s">
        <v>878</v>
      </c>
    </row>
    <row r="23" spans="2:2" ht="18" customHeight="1">
      <c r="B23" s="5" t="s">
        <v>879</v>
      </c>
    </row>
    <row r="24" spans="2:2" ht="18" customHeight="1">
      <c r="B24" s="5" t="s">
        <v>880</v>
      </c>
    </row>
    <row r="25" spans="2:2" ht="18" customHeight="1">
      <c r="B25" s="5" t="s">
        <v>881</v>
      </c>
    </row>
    <row r="26" spans="2:2" ht="18" customHeight="1">
      <c r="B26" s="5" t="s">
        <v>882</v>
      </c>
    </row>
    <row r="27" spans="2:2" ht="18" customHeight="1">
      <c r="B27" s="5" t="s">
        <v>883</v>
      </c>
    </row>
    <row r="28" spans="2:2" ht="18" customHeight="1">
      <c r="B28" s="5" t="s">
        <v>884</v>
      </c>
    </row>
    <row r="29" spans="2:2" ht="18" customHeight="1">
      <c r="B29" s="5" t="s">
        <v>885</v>
      </c>
    </row>
    <row r="30" spans="2:2" ht="18" customHeight="1">
      <c r="B30" s="5" t="s">
        <v>886</v>
      </c>
    </row>
    <row r="31" spans="2:2" ht="18" customHeight="1">
      <c r="B31" s="5" t="s">
        <v>887</v>
      </c>
    </row>
    <row r="32" spans="2:2" ht="18" customHeight="1">
      <c r="B32" s="5" t="s">
        <v>888</v>
      </c>
    </row>
    <row r="33" spans="2:2" ht="18" customHeight="1">
      <c r="B33" s="5" t="s">
        <v>889</v>
      </c>
    </row>
    <row r="34" spans="2:2" ht="18" customHeight="1">
      <c r="B34" s="5" t="s">
        <v>890</v>
      </c>
    </row>
    <row r="35" spans="2:2" ht="18" customHeight="1">
      <c r="B35" s="5" t="s">
        <v>891</v>
      </c>
    </row>
    <row r="36" spans="2:2" ht="18" customHeight="1">
      <c r="B36" s="5" t="s">
        <v>892</v>
      </c>
    </row>
    <row r="37" spans="2:2" ht="18" customHeight="1">
      <c r="B37" s="5" t="s">
        <v>893</v>
      </c>
    </row>
    <row r="38" spans="2:2" ht="18" customHeight="1">
      <c r="B38" s="5" t="s">
        <v>894</v>
      </c>
    </row>
    <row r="39" spans="2:2" ht="18" customHeight="1">
      <c r="B39" s="5" t="s">
        <v>895</v>
      </c>
    </row>
    <row r="40" spans="2:2" ht="18" customHeight="1">
      <c r="B40" s="5" t="s">
        <v>896</v>
      </c>
    </row>
    <row r="41" spans="2:2" ht="18" customHeight="1">
      <c r="B41" s="5" t="s">
        <v>897</v>
      </c>
    </row>
    <row r="42" spans="2:2" ht="18" customHeight="1">
      <c r="B42" s="5" t="s">
        <v>898</v>
      </c>
    </row>
    <row r="43" spans="2:2" ht="18" customHeight="1">
      <c r="B43" s="5" t="s">
        <v>899</v>
      </c>
    </row>
    <row r="44" spans="2:2" ht="18" customHeight="1">
      <c r="B44" s="5" t="s">
        <v>900</v>
      </c>
    </row>
    <row r="45" spans="2:2" ht="18" customHeight="1">
      <c r="B45" s="5" t="s">
        <v>901</v>
      </c>
    </row>
    <row r="46" spans="2:2" ht="18" customHeight="1">
      <c r="B46" s="5" t="s">
        <v>902</v>
      </c>
    </row>
    <row r="47" spans="2:2" ht="18" customHeight="1">
      <c r="B47" s="5" t="s">
        <v>903</v>
      </c>
    </row>
    <row r="48" spans="2:2" ht="18" customHeight="1">
      <c r="B48" s="5" t="s">
        <v>904</v>
      </c>
    </row>
    <row r="49" spans="1:20" ht="18" customHeight="1">
      <c r="B49" s="5" t="s">
        <v>905</v>
      </c>
    </row>
    <row r="50" spans="1:20" ht="18" customHeight="1">
      <c r="B50" s="5" t="s">
        <v>906</v>
      </c>
    </row>
    <row r="51" spans="1:20" ht="18" customHeight="1">
      <c r="B51" s="5" t="s">
        <v>907</v>
      </c>
    </row>
    <row r="52" spans="1:20" ht="18" customHeight="1">
      <c r="B52" s="5" t="s">
        <v>908</v>
      </c>
    </row>
    <row r="53" spans="1:20" ht="18" customHeight="1">
      <c r="B53" s="5" t="s">
        <v>909</v>
      </c>
    </row>
    <row r="54" spans="1:20" s="2" customFormat="1" ht="18" customHeight="1">
      <c r="B54" s="5" t="s">
        <v>910</v>
      </c>
    </row>
    <row r="55" spans="1:20" ht="18" customHeight="1">
      <c r="B55" s="5" t="s">
        <v>911</v>
      </c>
    </row>
    <row r="56" spans="1:20" s="2" customFormat="1" ht="18" customHeight="1">
      <c r="B56" s="5" t="s">
        <v>912</v>
      </c>
    </row>
    <row r="57" spans="1:20" s="3" customFormat="1" ht="18" customHeight="1">
      <c r="A57" s="6"/>
      <c r="B57" s="5" t="s">
        <v>913</v>
      </c>
      <c r="C57" s="7"/>
      <c r="D57" s="7"/>
      <c r="E57" s="7"/>
      <c r="F57" s="6"/>
      <c r="G57" s="6"/>
      <c r="H57" s="6"/>
      <c r="I57" s="6"/>
      <c r="J57" s="6"/>
      <c r="K57" s="6"/>
      <c r="L57" s="6"/>
      <c r="M57" s="6"/>
      <c r="N57" s="6"/>
      <c r="O57" s="6"/>
      <c r="P57" s="6"/>
      <c r="Q57" s="6"/>
      <c r="R57" s="6"/>
      <c r="S57" s="6"/>
      <c r="T57" s="6"/>
    </row>
    <row r="58" spans="1:20" s="4" customFormat="1" ht="18" customHeight="1">
      <c r="A58" s="8"/>
      <c r="B58" s="5" t="s">
        <v>914</v>
      </c>
      <c r="C58" s="9"/>
      <c r="D58" s="9"/>
      <c r="E58" s="9"/>
      <c r="F58" s="8"/>
      <c r="G58" s="8"/>
      <c r="H58" s="8"/>
      <c r="I58" s="8"/>
      <c r="J58" s="8"/>
      <c r="K58" s="8"/>
      <c r="L58" s="8"/>
      <c r="M58" s="8"/>
      <c r="N58" s="8"/>
      <c r="O58" s="8"/>
      <c r="P58" s="8"/>
      <c r="Q58" s="8"/>
      <c r="R58" s="8"/>
      <c r="S58" s="8"/>
      <c r="T58" s="8"/>
    </row>
    <row r="59" spans="1:20" s="3" customFormat="1" ht="18" customHeight="1">
      <c r="A59" s="6"/>
      <c r="B59" s="5" t="s">
        <v>915</v>
      </c>
      <c r="C59" s="10"/>
      <c r="D59" s="10"/>
      <c r="E59" s="10"/>
      <c r="F59" s="6"/>
      <c r="G59" s="6"/>
      <c r="H59" s="6"/>
      <c r="I59" s="11"/>
      <c r="J59" s="6"/>
      <c r="K59" s="6"/>
      <c r="L59" s="6"/>
      <c r="M59" s="6"/>
      <c r="N59" s="6"/>
      <c r="O59" s="6"/>
      <c r="P59" s="6"/>
      <c r="Q59" s="6"/>
      <c r="R59" s="6"/>
      <c r="S59" s="6"/>
      <c r="T59" s="6"/>
    </row>
    <row r="60" spans="1:20" s="4" customFormat="1" ht="18" customHeight="1">
      <c r="A60" s="8"/>
      <c r="B60" s="5" t="s">
        <v>916</v>
      </c>
      <c r="C60" s="12"/>
      <c r="D60" s="12"/>
      <c r="E60" s="12"/>
      <c r="F60" s="8"/>
      <c r="G60" s="8"/>
      <c r="H60" s="13"/>
      <c r="I60" s="13"/>
      <c r="J60" s="8"/>
      <c r="K60" s="8"/>
      <c r="L60" s="8"/>
      <c r="M60" s="8"/>
      <c r="N60" s="8"/>
      <c r="O60" s="8"/>
      <c r="P60" s="8"/>
      <c r="Q60" s="8"/>
      <c r="R60" s="8"/>
      <c r="S60" s="8"/>
      <c r="T60" s="8"/>
    </row>
    <row r="61" spans="1:20" s="3" customFormat="1" ht="18" customHeight="1">
      <c r="A61" s="6"/>
      <c r="B61" s="5" t="s">
        <v>917</v>
      </c>
      <c r="C61" s="10"/>
      <c r="D61" s="10"/>
      <c r="E61" s="10"/>
      <c r="F61" s="6"/>
      <c r="G61" s="6"/>
      <c r="H61" s="14"/>
      <c r="I61" s="14"/>
      <c r="J61" s="6"/>
      <c r="K61" s="6"/>
      <c r="L61" s="6"/>
      <c r="M61" s="6"/>
      <c r="N61" s="6"/>
      <c r="O61" s="6"/>
      <c r="P61" s="6"/>
      <c r="Q61" s="6"/>
      <c r="R61" s="6"/>
      <c r="S61" s="6"/>
      <c r="T61" s="6"/>
    </row>
    <row r="62" spans="1:20" s="4" customFormat="1" ht="18" customHeight="1">
      <c r="A62" s="8"/>
      <c r="B62" s="5" t="s">
        <v>918</v>
      </c>
      <c r="C62" s="12"/>
      <c r="D62" s="12"/>
      <c r="E62" s="12"/>
      <c r="F62" s="8"/>
      <c r="G62" s="8"/>
      <c r="H62" s="13"/>
      <c r="I62" s="13"/>
      <c r="J62" s="8"/>
      <c r="K62" s="8"/>
      <c r="L62" s="8"/>
      <c r="M62" s="8"/>
      <c r="N62" s="8"/>
      <c r="O62" s="8"/>
      <c r="P62" s="8"/>
      <c r="Q62" s="8"/>
      <c r="R62" s="8"/>
      <c r="S62" s="8"/>
      <c r="T62" s="8"/>
    </row>
    <row r="63" spans="1:20" s="3" customFormat="1" ht="18" customHeight="1">
      <c r="A63" s="6"/>
      <c r="B63" s="5" t="s">
        <v>919</v>
      </c>
      <c r="C63" s="10"/>
      <c r="D63" s="10"/>
      <c r="E63" s="10"/>
      <c r="F63" s="6"/>
      <c r="G63" s="6"/>
      <c r="H63" s="14"/>
      <c r="I63" s="14"/>
      <c r="J63" s="6"/>
      <c r="K63" s="6"/>
      <c r="L63" s="6"/>
      <c r="M63" s="6"/>
      <c r="N63" s="6"/>
      <c r="O63" s="6"/>
      <c r="P63" s="6"/>
      <c r="Q63" s="6"/>
      <c r="R63" s="6"/>
      <c r="S63" s="6"/>
      <c r="T63" s="6"/>
    </row>
    <row r="64" spans="1:20" s="3" customFormat="1" ht="18" customHeight="1">
      <c r="A64" s="6"/>
      <c r="B64" s="5" t="s">
        <v>920</v>
      </c>
      <c r="C64" s="10"/>
      <c r="D64" s="10"/>
      <c r="E64" s="10"/>
      <c r="F64" s="6"/>
      <c r="G64" s="6"/>
      <c r="H64" s="14"/>
      <c r="I64" s="14"/>
      <c r="J64" s="6"/>
      <c r="K64" s="6"/>
      <c r="L64" s="6"/>
      <c r="M64" s="6"/>
      <c r="N64" s="6"/>
      <c r="O64" s="6"/>
      <c r="P64" s="6"/>
      <c r="Q64" s="6"/>
      <c r="R64" s="6"/>
      <c r="S64" s="6"/>
      <c r="T64" s="6"/>
    </row>
    <row r="65" spans="1:24" s="3" customFormat="1" ht="18" customHeight="1">
      <c r="A65" s="6"/>
      <c r="B65" s="5" t="s">
        <v>921</v>
      </c>
      <c r="C65" s="10"/>
      <c r="D65" s="10"/>
      <c r="E65" s="10"/>
      <c r="F65" s="6"/>
      <c r="G65" s="6"/>
      <c r="H65" s="14"/>
      <c r="I65" s="14"/>
      <c r="J65" s="6"/>
      <c r="K65" s="6"/>
      <c r="L65" s="6"/>
      <c r="M65" s="6"/>
      <c r="N65" s="6"/>
      <c r="O65" s="6"/>
      <c r="P65" s="6"/>
      <c r="Q65" s="6"/>
      <c r="R65" s="6"/>
      <c r="S65" s="6"/>
      <c r="T65" s="6"/>
    </row>
    <row r="66" spans="1:24" s="3" customFormat="1" ht="18" customHeight="1">
      <c r="A66" s="6"/>
      <c r="B66" s="5" t="s">
        <v>922</v>
      </c>
      <c r="C66" s="10"/>
      <c r="D66" s="10"/>
      <c r="E66" s="10"/>
      <c r="F66" s="6"/>
      <c r="G66" s="6"/>
      <c r="H66" s="14"/>
      <c r="I66" s="14"/>
      <c r="J66" s="6"/>
      <c r="K66" s="6"/>
      <c r="L66" s="6"/>
      <c r="M66" s="6"/>
      <c r="N66" s="6"/>
      <c r="O66" s="6"/>
      <c r="P66" s="6"/>
      <c r="Q66" s="6"/>
      <c r="R66" s="6"/>
      <c r="S66" s="6"/>
      <c r="T66" s="6"/>
    </row>
    <row r="67" spans="1:24" s="3" customFormat="1" ht="18" customHeight="1">
      <c r="A67" s="6"/>
      <c r="B67" s="5" t="s">
        <v>923</v>
      </c>
      <c r="C67" s="10"/>
      <c r="D67" s="10"/>
      <c r="E67" s="10"/>
      <c r="F67" s="6"/>
      <c r="G67" s="6"/>
      <c r="H67" s="14"/>
      <c r="I67" s="14"/>
      <c r="J67" s="6"/>
      <c r="K67" s="6"/>
      <c r="L67" s="6"/>
      <c r="M67" s="6"/>
      <c r="N67" s="6"/>
      <c r="O67" s="6"/>
      <c r="P67" s="6"/>
      <c r="Q67" s="6"/>
      <c r="R67" s="6"/>
      <c r="S67" s="6"/>
      <c r="T67" s="6"/>
    </row>
    <row r="68" spans="1:24" s="3" customFormat="1" ht="18" customHeight="1">
      <c r="A68" s="6"/>
      <c r="B68" s="5" t="s">
        <v>924</v>
      </c>
      <c r="C68" s="15"/>
      <c r="D68" s="15"/>
      <c r="E68" s="15"/>
      <c r="F68" s="6"/>
      <c r="G68" s="6"/>
      <c r="H68" s="6"/>
      <c r="I68" s="6"/>
      <c r="J68" s="6"/>
      <c r="K68" s="6"/>
      <c r="L68" s="14"/>
      <c r="M68" s="14"/>
      <c r="N68" s="6"/>
      <c r="O68" s="6"/>
      <c r="P68" s="6"/>
      <c r="Q68" s="6"/>
      <c r="R68" s="6"/>
      <c r="S68" s="6"/>
      <c r="T68" s="6"/>
      <c r="U68" s="6"/>
      <c r="V68" s="6"/>
      <c r="W68" s="6"/>
      <c r="X68" s="6"/>
    </row>
    <row r="69" spans="1:24" s="3" customFormat="1" ht="18" customHeight="1">
      <c r="A69" s="6"/>
      <c r="B69" s="5" t="s">
        <v>925</v>
      </c>
      <c r="C69" s="16"/>
      <c r="D69" s="16"/>
      <c r="E69" s="16"/>
      <c r="F69" s="6"/>
      <c r="G69" s="6"/>
      <c r="H69" s="6"/>
      <c r="I69" s="6"/>
      <c r="J69" s="6"/>
      <c r="K69" s="6"/>
      <c r="L69" s="14"/>
      <c r="M69" s="14"/>
      <c r="N69" s="6"/>
      <c r="O69" s="6"/>
      <c r="P69" s="6"/>
      <c r="Q69" s="6"/>
      <c r="R69" s="6"/>
      <c r="S69" s="6"/>
      <c r="T69" s="6"/>
      <c r="U69" s="6"/>
      <c r="V69" s="6"/>
      <c r="W69" s="6"/>
      <c r="X69" s="6"/>
    </row>
    <row r="70" spans="1:24" s="3" customFormat="1" ht="18" customHeight="1">
      <c r="A70" s="6"/>
      <c r="B70" s="5" t="s">
        <v>926</v>
      </c>
      <c r="C70" s="15"/>
      <c r="D70" s="15"/>
      <c r="E70" s="15"/>
      <c r="F70" s="6"/>
      <c r="G70" s="6"/>
      <c r="H70" s="6"/>
      <c r="I70" s="6"/>
      <c r="J70" s="6"/>
      <c r="K70" s="6"/>
      <c r="L70" s="14"/>
      <c r="M70" s="14"/>
      <c r="N70" s="6"/>
      <c r="O70" s="6"/>
      <c r="P70" s="6"/>
      <c r="Q70" s="6"/>
      <c r="R70" s="6"/>
      <c r="S70" s="6"/>
      <c r="T70" s="6"/>
      <c r="U70" s="6"/>
      <c r="V70" s="6"/>
      <c r="W70" s="6"/>
      <c r="X70" s="6"/>
    </row>
    <row r="71" spans="1:24" s="3" customFormat="1" ht="18" customHeight="1">
      <c r="A71" s="6"/>
      <c r="B71" s="5" t="s">
        <v>927</v>
      </c>
      <c r="C71" s="16"/>
      <c r="D71" s="16"/>
      <c r="E71" s="16"/>
      <c r="F71" s="6"/>
      <c r="G71" s="6"/>
      <c r="H71" s="6"/>
      <c r="I71" s="6"/>
      <c r="J71" s="6"/>
      <c r="K71" s="6"/>
      <c r="L71" s="14"/>
      <c r="M71" s="14"/>
      <c r="N71" s="6"/>
      <c r="O71" s="6"/>
      <c r="P71" s="6"/>
      <c r="Q71" s="6"/>
      <c r="R71" s="6"/>
      <c r="S71" s="6"/>
      <c r="T71" s="6"/>
      <c r="U71" s="6"/>
      <c r="V71" s="6"/>
      <c r="W71" s="6"/>
      <c r="X71" s="6"/>
    </row>
    <row r="72" spans="1:24" ht="18" customHeight="1">
      <c r="B72" s="5" t="s">
        <v>928</v>
      </c>
    </row>
    <row r="73" spans="1:24" ht="18" customHeight="1">
      <c r="B73" s="5" t="s">
        <v>929</v>
      </c>
      <c r="C73" s="17"/>
      <c r="D73" s="17"/>
      <c r="E73" s="17"/>
    </row>
    <row r="74" spans="1:24" ht="18" customHeight="1">
      <c r="B74" s="5" t="s">
        <v>930</v>
      </c>
      <c r="C74" s="15"/>
      <c r="D74" s="15"/>
      <c r="E74" s="15"/>
    </row>
    <row r="75" spans="1:24" ht="18" customHeight="1">
      <c r="B75" s="5" t="s">
        <v>931</v>
      </c>
      <c r="C75" s="18"/>
      <c r="D75" s="18"/>
      <c r="E75" s="18"/>
    </row>
    <row r="76" spans="1:24" ht="18" customHeight="1">
      <c r="B76" s="19" t="s">
        <v>932</v>
      </c>
    </row>
    <row r="78" spans="1:24" ht="15">
      <c r="B78" s="18" t="s">
        <v>936</v>
      </c>
      <c r="C78" s="135" t="s">
        <v>937</v>
      </c>
      <c r="D78" s="18"/>
      <c r="E78" s="18"/>
    </row>
    <row r="79" spans="1:24" ht="18" customHeight="1">
      <c r="B79" s="126"/>
      <c r="C79" s="126"/>
      <c r="D79" s="126"/>
      <c r="E79" s="126"/>
    </row>
    <row r="81" spans="2:2" ht="18" customHeight="1">
      <c r="B81" s="2"/>
    </row>
  </sheetData>
  <mergeCells count="3">
    <mergeCell ref="B2:E2"/>
    <mergeCell ref="B3:E3"/>
    <mergeCell ref="B79:E79"/>
  </mergeCells>
  <phoneticPr fontId="40" type="noConversion"/>
  <hyperlinks>
    <hyperlink ref="C78" r:id="rId1" location="default-values-and-benchmarks-definitive-period" xr:uid="{B80C2BFA-1422-4D0C-88DC-EB65B33AF5EC}"/>
  </hyperlinks>
  <pageMargins left="0.75" right="0.75" top="1" bottom="1" header="0.5" footer="0.5"/>
  <headerFooter>
    <oddFooter>&amp;L_x000D_&amp;1#&amp;"Aptos"&amp;10&amp;K000000 NSF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基本信息</vt:lpstr>
      <vt:lpstr>导航目录</vt:lpstr>
      <vt:lpstr>范围一</vt:lpstr>
      <vt:lpstr>范围二</vt:lpstr>
      <vt:lpstr>范围三</vt:lpstr>
      <vt:lpstr>Q&amp;A</vt:lpstr>
      <vt:lpstr>参考文献</vt:lpstr>
      <vt:lpstr>参考文献-nzy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ZhiYuan (Neil) Ning</cp:lastModifiedBy>
  <dcterms:created xsi:type="dcterms:W3CDTF">2026-06-27T16:24:00Z</dcterms:created>
  <dcterms:modified xsi:type="dcterms:W3CDTF">2026-07-04T07:35:17Z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2D46713A25124A6DAE3297AB718DEE67_13</vt:lpwstr>
  </property>
  <property fmtid="{D5CDD505-2E9C-101B-9397-08002B2CF9AE}" pid="3" name="KSOProductBuildVer">
    <vt:lpwstr>2052-12.1.0.26895</vt:lpwstr>
  </property>
  <property fmtid="{D5CDD505-2E9C-101B-9397-08002B2CF9AE}" pid="4" name="CalculationRule">
    <vt:i4>0</vt:i4>
  </property>
  <property fmtid="{D5CDD505-2E9C-101B-9397-08002B2CF9AE}" pid="5" name="KSOReadingLayout">
    <vt:bool>true</vt:bool>
  </property>
  <property fmtid="{D5CDD505-2E9C-101B-9397-08002B2CF9AE}" pid="6" name="MSIP_Label_26b518dc-1afa-45e0-aaef-f556f62dbfcd_Enabled">
    <vt:lpwstr>true</vt:lpwstr>
  </property>
  <property fmtid="{D5CDD505-2E9C-101B-9397-08002B2CF9AE}" pid="7" name="MSIP_Label_26b518dc-1afa-45e0-aaef-f556f62dbfcd_SetDate">
    <vt:lpwstr>2026-07-04T06:54:32Z</vt:lpwstr>
  </property>
  <property fmtid="{D5CDD505-2E9C-101B-9397-08002B2CF9AE}" pid="8" name="MSIP_Label_26b518dc-1afa-45e0-aaef-f556f62dbfcd_Method">
    <vt:lpwstr>Standard</vt:lpwstr>
  </property>
  <property fmtid="{D5CDD505-2E9C-101B-9397-08002B2CF9AE}" pid="9" name="MSIP_Label_26b518dc-1afa-45e0-aaef-f556f62dbfcd_Name">
    <vt:lpwstr>All-Audiences_Confidential-PROD</vt:lpwstr>
  </property>
  <property fmtid="{D5CDD505-2E9C-101B-9397-08002B2CF9AE}" pid="10" name="MSIP_Label_26b518dc-1afa-45e0-aaef-f556f62dbfcd_SiteId">
    <vt:lpwstr>400696bb-3ef5-44ed-b838-ceb5afd17d90</vt:lpwstr>
  </property>
  <property fmtid="{D5CDD505-2E9C-101B-9397-08002B2CF9AE}" pid="11" name="MSIP_Label_26b518dc-1afa-45e0-aaef-f556f62dbfcd_ActionId">
    <vt:lpwstr>38403b52-5dbe-4b6e-a6f3-0c4a506b4d03</vt:lpwstr>
  </property>
  <property fmtid="{D5CDD505-2E9C-101B-9397-08002B2CF9AE}" pid="12" name="MSIP_Label_26b518dc-1afa-45e0-aaef-f556f62dbfcd_ContentBits">
    <vt:lpwstr>2</vt:lpwstr>
  </property>
  <property fmtid="{D5CDD505-2E9C-101B-9397-08002B2CF9AE}" pid="13" name="MSIP_Label_26b518dc-1afa-45e0-aaef-f556f62dbfcd_Tag">
    <vt:lpwstr>10, 3, 0, 1</vt:lpwstr>
  </property>
</Properties>
</file>